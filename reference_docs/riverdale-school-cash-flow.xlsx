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flow" sheetId="1" r:id="rId5"/>
    <sheet state="visible" name="20242025 Students" sheetId="2" r:id="rId6"/>
    <sheet state="visible" name="20252026 students" sheetId="3" r:id="rId7"/>
    <sheet state="visible" name="cashflow 20252026 " sheetId="4" r:id="rId8"/>
    <sheet state="visible" name="Task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tc={04fd4f2d-154b-47da-a038-f43451e07f88}</author>
    <author>tc={0b8f1c4d-145d-44e0-8dbd-d7305fd95f45}</author>
    <author>tc={502debe6-3f2e-4708-b6e0-8738698f406b}</author>
    <author>tc={60d1f29d-7820-4dc7-9131-f6fbfc48d904}</author>
    <author>tc={8a0bce83-d167-4703-b43e-9f4326f20f69}</author>
    <author>tc={a9ef4204-12f6-412d-a20c-1ededc045a98}</author>
    <author>tc={fbadb25f-32d5-4c98-ab56-338dfd21ff6d}</author>
    <author>tc={fde8cef4-293b-42cd-ac94-c32e0848fdc1}</author>
  </authors>
  <commentList>
    <comment authorId="0" xr:uid="{04fd4f2d-154b-47da-a038-f43451e07f88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Mawutor Bodjawah:
</t>
      </text>
    </comment>
    <comment authorId="1" xr:uid="{0b8f1c4d-145d-44e0-8dbd-d7305fd95f45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mortgage payment only if it is not part of your Self-Help loan payment
</t>
      </text>
    </comment>
    <comment authorId="2" xr:uid="{502debe6-3f2e-4708-b6e0-8738698f406b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what was left from April.
</t>
      </text>
    </comment>
    <comment authorId="3" xr:uid="{60d1f29d-7820-4dc7-9131-f6fbfc48d904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Includes major purchases: property, renovation, equipment or automobiles
</t>
      </text>
    </comment>
    <comment authorId="4" xr:uid="{8a0bce83-d167-4703-b43e-9f4326f20f69}" ref="R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300 plumbing, 650 carpentry
</t>
      </text>
    </comment>
    <comment authorId="5" xr:uid="{a9ef4204-12f6-412d-a20c-1ededc045a98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From January till May Kendra did not come to school
</t>
      </text>
    </comment>
    <comment authorId="6" xr:uid="{fbadb25f-32d5-4c98-ab56-338dfd21ff6d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the name of the month
</t>
      </text>
    </comment>
    <comment authorId="7" xr:uid="{fde8cef4-293b-42cd-ac94-c32e0848fdc1}" ref="F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security man's hospital contribution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9">
      <text>
        <t xml:space="preserve">300 for electricity, 100 for water and 60 for waste</t>
      </text>
    </comment>
    <comment authorId="0" ref="D59">
      <text>
        <t xml:space="preserve">300 electricity, 100 water, 60 for waste</t>
      </text>
    </comment>
    <comment authorId="0" ref="E59">
      <text>
        <t xml:space="preserve">101.60 cedis on water, 400 on electricity and 60 for waste</t>
      </text>
    </comment>
    <comment authorId="0" ref="E60">
      <text>
        <t xml:space="preserve">1000 welding,150 plumbing,200 weeding</t>
      </text>
    </comment>
    <comment authorId="0" ref="E64">
      <text>
        <t xml:space="preserve">christmas stuff
</t>
      </text>
    </comment>
  </commentList>
</comments>
</file>

<file path=xl/sharedStrings.xml><?xml version="1.0" encoding="utf-8"?>
<sst xmlns="http://schemas.openxmlformats.org/spreadsheetml/2006/main" count="418" uniqueCount="161">
  <si>
    <t>Model Cashflow Spreadsheet for Charter Schools</t>
  </si>
  <si>
    <t>Cells with red dots in the upper right corner have notes attached--to reveal notes highlight the cell and press the &lt;shift&gt; and &lt;F2&gt; keys simultaneously (Windows95 will reveal notes automatically when cell is highlighted).</t>
  </si>
  <si>
    <t>Projected Monthly cash flow statement for (name of charter school):</t>
  </si>
  <si>
    <t>MONTH</t>
  </si>
  <si>
    <t>Start Up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</si>
  <si>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</si>
  <si>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</si>
  <si>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</si>
  <si>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</si>
  <si>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</si>
  <si>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</si>
  <si>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</si>
  <si>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</si>
  <si>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</si>
  <si>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</si>
  <si>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</si>
  <si>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</si>
  <si>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August</t>
  </si>
  <si>
    <t>Total</t>
  </si>
  <si>
    <t>expected number of students</t>
  </si>
  <si>
    <r>
      <rPr>
        <rFont val="Arial"/>
        <color rgb="FF000000"/>
        <sz val="10.0"/>
      </rPr>
      <t xml:space="preserve">expected number of exceptional students </t>
    </r>
    <r>
      <rPr>
        <rFont val="Arial"/>
        <color rgb="FF000000"/>
        <sz val="8.0"/>
      </rPr>
      <t>(do not include gifted students)</t>
    </r>
  </si>
  <si>
    <t>Total Number of Children</t>
  </si>
  <si>
    <t>CASH IN PER MONTH</t>
  </si>
  <si>
    <t>% of Total Cash In</t>
  </si>
  <si>
    <t>Tuition</t>
  </si>
  <si>
    <t>Books</t>
  </si>
  <si>
    <t>Admission</t>
  </si>
  <si>
    <t>Donations</t>
  </si>
  <si>
    <t>Directors Contributions:</t>
  </si>
  <si>
    <t xml:space="preserve">                                     Barbara</t>
  </si>
  <si>
    <t xml:space="preserve">                                     Genny</t>
  </si>
  <si>
    <t xml:space="preserve">                                     Isaac</t>
  </si>
  <si>
    <t xml:space="preserve">                                     Regina</t>
  </si>
  <si>
    <t>Total Cash In per month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</si>
  <si>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</si>
  <si>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</si>
  <si>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</si>
  <si>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</si>
  <si>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</si>
  <si>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</si>
  <si>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</si>
  <si>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</si>
  <si>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</si>
  <si>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</si>
  <si>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</si>
  <si>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</si>
  <si>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CASH OUT PER MONTH</t>
  </si>
  <si>
    <t>Variable Costs</t>
  </si>
  <si>
    <t>Personnel:</t>
  </si>
  <si>
    <t xml:space="preserve">       Head Teacher</t>
  </si>
  <si>
    <t xml:space="preserve">       Teachers</t>
  </si>
  <si>
    <t xml:space="preserve">       Teaching Assistants</t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</si>
  <si>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(var.  payroll only)</t>
    </r>
  </si>
  <si>
    <t xml:space="preserve">Food </t>
  </si>
  <si>
    <t>Capital Costs</t>
  </si>
  <si>
    <t>Fixed asset expenditures</t>
  </si>
  <si>
    <t>Fixed Costs</t>
  </si>
  <si>
    <t>Non-Teacher Personnel:</t>
  </si>
  <si>
    <t xml:space="preserve">        Director's salary</t>
  </si>
  <si>
    <t xml:space="preserve">        Other non-teaching salary:</t>
  </si>
  <si>
    <t xml:space="preserve">                Security</t>
  </si>
  <si>
    <t xml:space="preserve">                Cleaner</t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</si>
  <si>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(fixed payroll only)</t>
    </r>
  </si>
  <si>
    <t xml:space="preserve">        Training</t>
  </si>
  <si>
    <t>Occupancy:</t>
  </si>
  <si>
    <r>
      <rPr>
        <rFont val="Arial"/>
        <color theme="1"/>
        <sz val="10.0"/>
      </rPr>
      <t xml:space="preserve">Non-Self-Help mortgage or rent </t>
    </r>
    <r>
      <rPr>
        <rFont val="Arial"/>
        <color theme="1"/>
        <sz val="8.0"/>
      </rPr>
      <t>(put other payments under "other expenses" or "Self-Help                               loan payments," as applicable)</t>
    </r>
  </si>
  <si>
    <t xml:space="preserve">        Utilities</t>
  </si>
  <si>
    <t xml:space="preserve">        Repairs &amp; maintenance</t>
  </si>
  <si>
    <t xml:space="preserve">        Property taxes</t>
  </si>
  <si>
    <t>Administration:</t>
  </si>
  <si>
    <t xml:space="preserve">        Telephone</t>
  </si>
  <si>
    <t xml:space="preserve">        Office supplies/equipment</t>
  </si>
  <si>
    <t xml:space="preserve">        Accounting &amp; legal</t>
  </si>
  <si>
    <r>
      <rPr>
        <rFont val="Arial"/>
        <color theme="1"/>
        <sz val="10.0"/>
      </rPr>
      <t xml:space="preserve">        Insurance</t>
    </r>
    <r>
      <rPr>
        <rFont val="Arial"/>
        <color theme="1"/>
        <sz val="8.0"/>
      </rPr>
      <t xml:space="preserve"> (bonding, vehicle, liability, etc.)</t>
    </r>
  </si>
  <si>
    <t>Other:</t>
  </si>
  <si>
    <t xml:space="preserve">        Advertising</t>
  </si>
  <si>
    <t xml:space="preserve">        Education supplies/equipment</t>
  </si>
  <si>
    <t xml:space="preserve">        Testing materials</t>
  </si>
  <si>
    <t xml:space="preserve">        Transportation</t>
  </si>
  <si>
    <r>
      <rPr>
        <rFont val="Arial"/>
        <color theme="1"/>
        <sz val="10.0"/>
      </rPr>
      <t xml:space="preserve">Other expenses </t>
    </r>
    <r>
      <rPr>
        <rFont val="Arial"/>
        <color theme="1"/>
        <sz val="8.0"/>
      </rPr>
      <t>(list)</t>
    </r>
    <r>
      <rPr>
        <rFont val="Arial"/>
        <color theme="1"/>
        <sz val="10.0"/>
      </rPr>
      <t>:</t>
    </r>
  </si>
  <si>
    <t>Start-Up Costs</t>
  </si>
  <si>
    <t>Total Cash Out per month</t>
  </si>
  <si>
    <t>CASH FLOW SUMMARY</t>
  </si>
  <si>
    <t>Total Cash In</t>
  </si>
  <si>
    <t>Total Start-Up Costs or Cash Out</t>
  </si>
  <si>
    <t>SURPLUS (DEFICIT)</t>
  </si>
  <si>
    <t>Self-Help loan payments</t>
  </si>
  <si>
    <t>Beginning Cash Balance</t>
  </si>
  <si>
    <t>End Cash Balance</t>
  </si>
  <si>
    <t>Student Name</t>
  </si>
  <si>
    <t>March</t>
  </si>
  <si>
    <t>April</t>
  </si>
  <si>
    <t xml:space="preserve">May </t>
  </si>
  <si>
    <t xml:space="preserve">July </t>
  </si>
  <si>
    <t>Total Paid</t>
  </si>
  <si>
    <t>Balance</t>
  </si>
  <si>
    <t>Monthly Fee</t>
  </si>
  <si>
    <t>Tua Atuahene Poku Obrempong</t>
  </si>
  <si>
    <t>Jantuah Asare Michael</t>
  </si>
  <si>
    <t>Nana Akosua Nti Afriyie</t>
  </si>
  <si>
    <t>A</t>
  </si>
  <si>
    <t>Ackah Esi Zoya</t>
  </si>
  <si>
    <t>Katakyie Adubofuor Barima</t>
  </si>
  <si>
    <t>Agyemang Ohemaa Gyamfua</t>
  </si>
  <si>
    <t>Kendra Nana Yaa Konadu</t>
  </si>
  <si>
    <t>Attah Mensah Nana Boateng</t>
  </si>
  <si>
    <t>Arthur Forson Jayla</t>
  </si>
  <si>
    <t>Nyametease Annin Yeboah</t>
  </si>
  <si>
    <t>Nyamedome Annin Yeboah</t>
  </si>
  <si>
    <t>Devine Ryker</t>
  </si>
  <si>
    <t>Frimpong Abena Serwaa</t>
  </si>
  <si>
    <t>Boakye Agyemang Spencer Nana Eshun</t>
  </si>
  <si>
    <t>Ayama Elizabeth</t>
  </si>
  <si>
    <t>Antwi Bosiako Raphael</t>
  </si>
  <si>
    <t>Apenten Kofi Elisha</t>
  </si>
  <si>
    <t>Anim Yeboah Beatrice</t>
  </si>
  <si>
    <t>Oppong Fosu Eric</t>
  </si>
  <si>
    <t>Total Tuition Per Month</t>
  </si>
  <si>
    <t>Number on Roll</t>
  </si>
  <si>
    <t>September</t>
  </si>
  <si>
    <t xml:space="preserve">Jan </t>
  </si>
  <si>
    <t xml:space="preserve">March </t>
  </si>
  <si>
    <t xml:space="preserve">June </t>
  </si>
  <si>
    <t>Benjamin Kweku</t>
  </si>
  <si>
    <t>Samuel Asare</t>
  </si>
  <si>
    <t>Sharif Mujaheed</t>
  </si>
  <si>
    <t>Lilibeth</t>
  </si>
  <si>
    <t>Annin Yeboah</t>
  </si>
  <si>
    <t>Mark Marshall</t>
  </si>
  <si>
    <t>Jayden kekeli Kpodo</t>
  </si>
  <si>
    <t>Kiara manu</t>
  </si>
  <si>
    <t>Carysel Kwarteng</t>
  </si>
  <si>
    <t>Ciara</t>
  </si>
  <si>
    <t>Boatemaa</t>
  </si>
  <si>
    <t>Liana</t>
  </si>
  <si>
    <t>October</t>
  </si>
  <si>
    <t>November</t>
  </si>
  <si>
    <t>December</t>
  </si>
  <si>
    <t>January</t>
  </si>
  <si>
    <t>February</t>
  </si>
  <si>
    <r>
      <rPr>
        <rFont val="Arial"/>
        <color rgb="FF000000"/>
        <sz val="10.0"/>
      </rPr>
      <t xml:space="preserve">expected number of exceptional students </t>
    </r>
    <r>
      <rPr>
        <rFont val="Arial"/>
        <color rgb="FF000000"/>
        <sz val="8.0"/>
      </rPr>
      <t>(do not include gifted students)</t>
    </r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</si>
  <si>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(var.  payroll only)</t>
    </r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</si>
  <si>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(fixed payroll only)</t>
    </r>
  </si>
  <si>
    <r>
      <rPr>
        <rFont val="Arial"/>
        <color theme="1"/>
        <sz val="10.0"/>
      </rPr>
      <t xml:space="preserve">Non-Self-Help mortgage or rent </t>
    </r>
    <r>
      <rPr>
        <rFont val="Arial"/>
        <color theme="1"/>
        <sz val="8.0"/>
      </rPr>
      <t>(put other payments under "other expenses" or "Self-Help                               loan payments," as applicable)</t>
    </r>
  </si>
  <si>
    <r>
      <rPr>
        <rFont val="Arial"/>
        <color theme="1"/>
        <sz val="10.0"/>
      </rPr>
      <t xml:space="preserve">        Insurance</t>
    </r>
    <r>
      <rPr>
        <rFont val="Arial"/>
        <color theme="1"/>
        <sz val="8.0"/>
      </rPr>
      <t xml:space="preserve"> (bonding, vehicle, liability, etc.)</t>
    </r>
  </si>
  <si>
    <r>
      <rPr>
        <rFont val="Arial"/>
        <color theme="1"/>
        <sz val="10.0"/>
      </rPr>
      <t xml:space="preserve">Other expenses </t>
    </r>
    <r>
      <rPr>
        <rFont val="Arial"/>
        <color theme="1"/>
        <sz val="8.0"/>
      </rPr>
      <t>(list)</t>
    </r>
    <r>
      <rPr>
        <rFont val="Arial"/>
        <color theme="1"/>
        <sz val="10.0"/>
      </rPr>
      <t>:</t>
    </r>
  </si>
  <si>
    <t>Task</t>
  </si>
  <si>
    <t>Priority</t>
  </si>
  <si>
    <t>Status</t>
  </si>
  <si>
    <t>Start date</t>
  </si>
  <si>
    <t>End date</t>
  </si>
  <si>
    <t>Notes</t>
  </si>
  <si>
    <t>Health drive</t>
  </si>
  <si>
    <t>P3</t>
  </si>
  <si>
    <t>Not started</t>
  </si>
  <si>
    <t>Social Media Attraction</t>
  </si>
  <si>
    <t>Door to Door</t>
  </si>
  <si>
    <t>Meet your ward and faciltator day</t>
  </si>
  <si>
    <t>Funfair</t>
  </si>
  <si>
    <t>P1</t>
  </si>
  <si>
    <t>Affiliation with a bigger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</si>
</sst>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GHC]\ #,##0_);[Red]\([$GHC]\ #,##0\)"/>
    <numFmt numFmtId="165" formatCode="_([$GHC]\ * #,##0.00_);_([$GHC]\ * \(#,##0.00\);_([$GHC]\ * &quot;-&quot;??_);_(@_)"/>
    <numFmt numFmtId="166" formatCode="M/d/yyyy"/>
  </numFmts>
  <fonts count="14">
    <font>
      <sz val="10.0"/>
      <color rgb="FF000000"/>
      <name val="Arial"/>
      <scheme val="minor"/>
    </font>
    <font>
      <b/>
      <sz val="28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b/>
      <sz val="8.0"/>
      <color rgb="FF000000"/>
      <name val="Arial"/>
    </font>
    <font>
      <sz val="10.0"/>
      <color rgb="FF000000"/>
      <name val="Arial"/>
    </font>
    <font>
      <b/>
      <sz val="18.0"/>
      <color rgb="FF000000"/>
      <name val="Arial"/>
    </font>
    <font>
      <b/>
      <sz val="11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</fills>
  <borders count="46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center"/>
    </xf>
    <xf borderId="2" fillId="2" fontId="1" numFmtId="164" xfId="0" applyAlignment="1" applyBorder="1" applyFont="1" applyNumberFormat="1">
      <alignment vertical="center"/>
    </xf>
    <xf borderId="3" fillId="2" fontId="1" numFmtId="164" xfId="0" applyAlignment="1" applyBorder="1" applyFont="1" applyNumberFormat="1">
      <alignment vertical="center"/>
    </xf>
    <xf borderId="0" fillId="0" fontId="2" numFmtId="164" xfId="0" applyFont="1" applyNumberFormat="1"/>
    <xf borderId="4" fillId="2" fontId="1" numFmtId="164" xfId="0" applyAlignment="1" applyBorder="1" applyFont="1" applyNumberFormat="1">
      <alignment vertical="center"/>
    </xf>
    <xf borderId="5" fillId="2" fontId="1" numFmtId="164" xfId="0" applyAlignment="1" applyBorder="1" applyFont="1" applyNumberFormat="1">
      <alignment vertical="center"/>
    </xf>
    <xf borderId="6" fillId="2" fontId="1" numFmtId="164" xfId="0" applyAlignment="1" applyBorder="1" applyFont="1" applyNumberFormat="1">
      <alignment vertical="center"/>
    </xf>
    <xf borderId="7" fillId="2" fontId="1" numFmtId="164" xfId="0" applyAlignment="1" applyBorder="1" applyFont="1" applyNumberFormat="1">
      <alignment vertical="center"/>
    </xf>
    <xf borderId="8" fillId="0" fontId="2" numFmtId="164" xfId="0" applyBorder="1" applyFont="1" applyNumberFormat="1"/>
    <xf borderId="9" fillId="0" fontId="2" numFmtId="164" xfId="0" applyBorder="1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5" numFmtId="164" xfId="0" applyFont="1" applyNumberFormat="1"/>
    <xf borderId="5" fillId="2" fontId="6" numFmtId="164" xfId="0" applyAlignment="1" applyBorder="1" applyFont="1" applyNumberFormat="1">
      <alignment horizontal="left" shrinkToFit="0" wrapText="1"/>
    </xf>
    <xf borderId="10" fillId="0" fontId="7" numFmtId="164" xfId="0" applyBorder="1" applyFont="1" applyNumberFormat="1"/>
    <xf borderId="11" fillId="0" fontId="8" numFmtId="164" xfId="0" applyAlignment="1" applyBorder="1" applyFont="1" applyNumberFormat="1">
      <alignment horizontal="right"/>
    </xf>
    <xf borderId="12" fillId="3" fontId="8" numFmtId="164" xfId="0" applyAlignment="1" applyBorder="1" applyFill="1" applyFont="1" applyNumberFormat="1">
      <alignment horizontal="right"/>
    </xf>
    <xf borderId="12" fillId="4" fontId="8" numFmtId="164" xfId="0" applyAlignment="1" applyBorder="1" applyFill="1" applyFont="1" applyNumberFormat="1">
      <alignment horizontal="right"/>
    </xf>
    <xf borderId="13" fillId="4" fontId="8" numFmtId="0" xfId="0" applyBorder="1" applyFont="1"/>
    <xf borderId="14" fillId="0" fontId="9" numFmtId="164" xfId="0" applyBorder="1" applyFont="1" applyNumberFormat="1"/>
    <xf borderId="15" fillId="0" fontId="2" numFmtId="164" xfId="0" applyBorder="1" applyFont="1" applyNumberFormat="1"/>
    <xf borderId="16" fillId="0" fontId="2" numFmtId="164" xfId="0" applyBorder="1" applyFont="1" applyNumberFormat="1"/>
    <xf borderId="0" fillId="0" fontId="2" numFmtId="2" xfId="0" applyFont="1" applyNumberFormat="1"/>
    <xf borderId="17" fillId="0" fontId="2" numFmtId="164" xfId="0" applyBorder="1" applyFont="1" applyNumberFormat="1"/>
    <xf borderId="15" fillId="0" fontId="9" numFmtId="164" xfId="0" applyAlignment="1" applyBorder="1" applyFont="1" applyNumberFormat="1">
      <alignment shrinkToFit="0" wrapText="1"/>
    </xf>
    <xf borderId="18" fillId="0" fontId="2" numFmtId="164" xfId="0" applyBorder="1" applyFont="1" applyNumberFormat="1"/>
    <xf borderId="18" fillId="0" fontId="2" numFmtId="0" xfId="0" applyBorder="1" applyFont="1"/>
    <xf borderId="18" fillId="0" fontId="2" numFmtId="2" xfId="0" applyBorder="1" applyFont="1" applyNumberFormat="1"/>
    <xf borderId="6" fillId="5" fontId="2" numFmtId="2" xfId="0" applyBorder="1" applyFill="1" applyFont="1" applyNumberFormat="1"/>
    <xf borderId="18" fillId="0" fontId="2" numFmtId="2" xfId="0" applyAlignment="1" applyBorder="1" applyFont="1" applyNumberFormat="1">
      <alignment readingOrder="0"/>
    </xf>
    <xf borderId="15" fillId="0" fontId="5" numFmtId="164" xfId="0" applyBorder="1" applyFont="1" applyNumberFormat="1"/>
    <xf borderId="15" fillId="0" fontId="10" numFmtId="164" xfId="0" applyBorder="1" applyFont="1" applyNumberFormat="1"/>
    <xf borderId="17" fillId="0" fontId="2" numFmtId="164" xfId="0" applyAlignment="1" applyBorder="1" applyFont="1" applyNumberFormat="1">
      <alignment horizontal="center" shrinkToFit="0" wrapText="1"/>
    </xf>
    <xf borderId="15" fillId="0" fontId="11" numFmtId="164" xfId="0" applyBorder="1" applyFont="1" applyNumberFormat="1"/>
    <xf borderId="17" fillId="0" fontId="2" numFmtId="0" xfId="0" applyBorder="1" applyFont="1"/>
    <xf borderId="5" fillId="5" fontId="2" numFmtId="164" xfId="0" applyBorder="1" applyFont="1" applyNumberFormat="1"/>
    <xf borderId="6" fillId="6" fontId="2" numFmtId="164" xfId="0" applyBorder="1" applyFill="1" applyFont="1" applyNumberFormat="1"/>
    <xf borderId="19" fillId="0" fontId="5" numFmtId="164" xfId="0" applyAlignment="1" applyBorder="1" applyFont="1" applyNumberFormat="1">
      <alignment horizontal="right"/>
    </xf>
    <xf borderId="9" fillId="0" fontId="5" numFmtId="164" xfId="0" applyBorder="1" applyFont="1" applyNumberFormat="1"/>
    <xf borderId="8" fillId="0" fontId="5" numFmtId="164" xfId="0" applyBorder="1" applyFont="1" applyNumberFormat="1"/>
    <xf borderId="8" fillId="0" fontId="5" numFmtId="165" xfId="0" applyBorder="1" applyFont="1" applyNumberFormat="1"/>
    <xf borderId="20" fillId="0" fontId="5" numFmtId="0" xfId="0" applyBorder="1" applyFont="1"/>
    <xf borderId="21" fillId="0" fontId="8" numFmtId="164" xfId="0" applyAlignment="1" applyBorder="1" applyFont="1" applyNumberFormat="1">
      <alignment horizontal="right"/>
    </xf>
    <xf borderId="14" fillId="0" fontId="9" numFmtId="0" xfId="0" applyBorder="1" applyFont="1"/>
    <xf borderId="15" fillId="0" fontId="7" numFmtId="164" xfId="0" applyBorder="1" applyFont="1" applyNumberFormat="1"/>
    <xf borderId="18" fillId="0" fontId="8" numFmtId="164" xfId="0" applyAlignment="1" applyBorder="1" applyFont="1" applyNumberFormat="1">
      <alignment horizontal="right"/>
    </xf>
    <xf borderId="0" fillId="0" fontId="8" numFmtId="164" xfId="0" applyAlignment="1" applyFont="1" applyNumberFormat="1">
      <alignment horizontal="right"/>
    </xf>
    <xf borderId="17" fillId="0" fontId="9" numFmtId="164" xfId="0" applyBorder="1" applyFont="1" applyNumberFormat="1"/>
    <xf borderId="15" fillId="0" fontId="12" numFmtId="164" xfId="0" applyBorder="1" applyFont="1" applyNumberFormat="1"/>
    <xf borderId="15" fillId="0" fontId="2" numFmtId="164" xfId="0" applyAlignment="1" applyBorder="1" applyFont="1" applyNumberFormat="1">
      <alignment horizontal="left" shrinkToFit="0" wrapText="1"/>
    </xf>
    <xf borderId="5" fillId="7" fontId="2" numFmtId="164" xfId="0" applyBorder="1" applyFill="1" applyFont="1" applyNumberFormat="1"/>
    <xf borderId="5" fillId="7" fontId="5" numFmtId="164" xfId="0" applyBorder="1" applyFont="1" applyNumberFormat="1"/>
    <xf borderId="22" fillId="7" fontId="2" numFmtId="164" xfId="0" applyBorder="1" applyFont="1" applyNumberFormat="1"/>
    <xf borderId="15" fillId="0" fontId="2" numFmtId="164" xfId="0" applyAlignment="1" applyBorder="1" applyFont="1" applyNumberFormat="1">
      <alignment shrinkToFit="0" wrapText="1"/>
    </xf>
    <xf borderId="15" fillId="0" fontId="2" numFmtId="164" xfId="0" applyAlignment="1" applyBorder="1" applyFont="1" applyNumberFormat="1">
      <alignment horizontal="center" shrinkToFit="0" wrapText="1"/>
    </xf>
    <xf borderId="15" fillId="0" fontId="2" numFmtId="164" xfId="0" applyAlignment="1" applyBorder="1" applyFont="1" applyNumberFormat="1">
      <alignment horizontal="left"/>
    </xf>
    <xf borderId="15" fillId="0" fontId="5" numFmtId="164" xfId="0" applyAlignment="1" applyBorder="1" applyFont="1" applyNumberFormat="1">
      <alignment horizontal="right"/>
    </xf>
    <xf borderId="18" fillId="0" fontId="5" numFmtId="164" xfId="0" applyBorder="1" applyFont="1" applyNumberFormat="1"/>
    <xf borderId="23" fillId="7" fontId="5" numFmtId="164" xfId="0" applyBorder="1" applyFont="1" applyNumberFormat="1"/>
    <xf borderId="22" fillId="7" fontId="5" numFmtId="164" xfId="0" applyBorder="1" applyFont="1" applyNumberFormat="1"/>
    <xf borderId="24" fillId="0" fontId="5" numFmtId="164" xfId="0" applyAlignment="1" applyBorder="1" applyFont="1" applyNumberFormat="1">
      <alignment horizontal="right" shrinkToFit="0" wrapText="1"/>
    </xf>
    <xf borderId="25" fillId="7" fontId="5" numFmtId="164" xfId="0" applyBorder="1" applyFont="1" applyNumberFormat="1"/>
    <xf borderId="26" fillId="0" fontId="5" numFmtId="164" xfId="0" applyBorder="1" applyFont="1" applyNumberFormat="1"/>
    <xf borderId="27" fillId="0" fontId="5" numFmtId="164" xfId="0" applyBorder="1" applyFont="1" applyNumberFormat="1"/>
    <xf borderId="28" fillId="0" fontId="5" numFmtId="164" xfId="0" applyAlignment="1" applyBorder="1" applyFont="1" applyNumberFormat="1">
      <alignment horizontal="right"/>
    </xf>
    <xf borderId="29" fillId="0" fontId="2" numFmtId="164" xfId="0" applyBorder="1" applyFont="1" applyNumberFormat="1"/>
    <xf borderId="29" fillId="0" fontId="5" numFmtId="164" xfId="0" applyBorder="1" applyFont="1" applyNumberFormat="1"/>
    <xf borderId="30" fillId="0" fontId="2" numFmtId="164" xfId="0" applyBorder="1" applyFont="1" applyNumberFormat="1"/>
    <xf borderId="17" fillId="0" fontId="5" numFmtId="164" xfId="0" applyBorder="1" applyFont="1" applyNumberFormat="1"/>
    <xf borderId="0" fillId="0" fontId="5" numFmtId="164" xfId="0" applyAlignment="1" applyFont="1" applyNumberFormat="1">
      <alignment horizontal="right"/>
    </xf>
    <xf borderId="17" fillId="0" fontId="5" numFmtId="164" xfId="0" applyAlignment="1" applyBorder="1" applyFont="1" applyNumberFormat="1">
      <alignment horizontal="right"/>
    </xf>
    <xf borderId="0" fillId="0" fontId="5" numFmtId="165" xfId="0" applyFont="1" applyNumberFormat="1"/>
    <xf borderId="24" fillId="0" fontId="5" numFmtId="164" xfId="0" applyAlignment="1" applyBorder="1" applyFont="1" applyNumberFormat="1">
      <alignment horizontal="right"/>
    </xf>
    <xf borderId="27" fillId="0" fontId="2" numFmtId="164" xfId="0" applyBorder="1" applyFont="1" applyNumberFormat="1"/>
    <xf borderId="31" fillId="0" fontId="5" numFmtId="0" xfId="0" applyBorder="1" applyFont="1"/>
    <xf borderId="28" fillId="0" fontId="5" numFmtId="0" xfId="0" applyBorder="1" applyFont="1"/>
    <xf borderId="32" fillId="0" fontId="5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7" fillId="0" fontId="2" numFmtId="0" xfId="0" applyAlignment="1" applyBorder="1" applyFont="1">
      <alignment readingOrder="0"/>
    </xf>
    <xf borderId="36" fillId="5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5" numFmtId="0" xfId="0" applyBorder="1" applyFont="1"/>
    <xf borderId="43" fillId="0" fontId="5" numFmtId="0" xfId="0" applyBorder="1" applyFont="1"/>
    <xf borderId="0" fillId="0" fontId="5" numFmtId="0" xfId="0" applyFont="1"/>
    <xf borderId="44" fillId="0" fontId="5" numFmtId="0" xfId="0" applyBorder="1" applyFont="1"/>
    <xf borderId="44" fillId="0" fontId="5" numFmtId="0" xfId="0" applyAlignment="1" applyBorder="1" applyFont="1">
      <alignment readingOrder="0"/>
    </xf>
    <xf borderId="44" fillId="0" fontId="2" numFmtId="0" xfId="0" applyBorder="1" applyFont="1"/>
    <xf borderId="28" fillId="0" fontId="5" numFmtId="0" xfId="0" applyAlignment="1" applyBorder="1" applyFont="1">
      <alignment readingOrder="0"/>
    </xf>
    <xf borderId="34" fillId="0" fontId="2" numFmtId="0" xfId="0" applyAlignment="1" applyBorder="1" applyFont="1">
      <alignment readingOrder="0"/>
    </xf>
    <xf borderId="36" fillId="8" fontId="2" numFmtId="0" xfId="0" applyBorder="1" applyFill="1" applyFont="1"/>
    <xf borderId="37" fillId="9" fontId="2" numFmtId="0" xfId="0" applyAlignment="1" applyBorder="1" applyFill="1" applyFont="1">
      <alignment readingOrder="0"/>
    </xf>
    <xf borderId="34" fillId="9" fontId="2" numFmtId="0" xfId="0" applyAlignment="1" applyBorder="1" applyFont="1">
      <alignment readingOrder="0"/>
    </xf>
    <xf borderId="37" fillId="9" fontId="2" numFmtId="0" xfId="0" applyBorder="1" applyFont="1"/>
    <xf borderId="34" fillId="9" fontId="2" numFmtId="0" xfId="0" applyBorder="1" applyFont="1"/>
    <xf borderId="38" fillId="9" fontId="2" numFmtId="0" xfId="0" applyBorder="1" applyFont="1"/>
    <xf borderId="0" fillId="9" fontId="13" numFmtId="0" xfId="0" applyFont="1"/>
    <xf borderId="37" fillId="8" fontId="2" numFmtId="0" xfId="0" applyAlignment="1" applyBorder="1" applyFont="1">
      <alignment readingOrder="0"/>
    </xf>
    <xf borderId="34" fillId="8" fontId="2" numFmtId="0" xfId="0" applyAlignment="1" applyBorder="1" applyFont="1">
      <alignment readingOrder="0"/>
    </xf>
    <xf borderId="37" fillId="8" fontId="2" numFmtId="0" xfId="0" applyBorder="1" applyFont="1"/>
    <xf borderId="34" fillId="8" fontId="2" numFmtId="0" xfId="0" applyBorder="1" applyFont="1"/>
    <xf borderId="38" fillId="8" fontId="2" numFmtId="0" xfId="0" applyBorder="1" applyFont="1"/>
    <xf borderId="0" fillId="8" fontId="13" numFmtId="0" xfId="0" applyFont="1"/>
    <xf borderId="36" fillId="0" fontId="2" numFmtId="0" xfId="0" applyAlignment="1" applyBorder="1" applyFont="1">
      <alignment readingOrder="0"/>
    </xf>
    <xf borderId="38" fillId="0" fontId="2" numFmtId="0" xfId="0" applyAlignment="1" applyBorder="1" applyFont="1">
      <alignment readingOrder="0"/>
    </xf>
    <xf borderId="39" fillId="0" fontId="2" numFmtId="0" xfId="0" applyAlignment="1" applyBorder="1" applyFont="1">
      <alignment readingOrder="0"/>
    </xf>
    <xf borderId="41" fillId="0" fontId="2" numFmtId="0" xfId="0" applyAlignment="1" applyBorder="1" applyFont="1">
      <alignment readingOrder="0"/>
    </xf>
    <xf borderId="39" fillId="8" fontId="2" numFmtId="0" xfId="0" applyAlignment="1" applyBorder="1" applyFont="1">
      <alignment readingOrder="0"/>
    </xf>
    <xf borderId="40" fillId="8" fontId="2" numFmtId="0" xfId="0" applyBorder="1" applyFont="1"/>
    <xf borderId="41" fillId="8" fontId="2" numFmtId="0" xfId="0" applyAlignment="1" applyBorder="1" applyFont="1">
      <alignment readingOrder="0"/>
    </xf>
    <xf borderId="45" fillId="0" fontId="2" numFmtId="0" xfId="0" applyBorder="1" applyFont="1"/>
    <xf borderId="40" fillId="0" fontId="2" numFmtId="0" xfId="0" applyAlignment="1" applyBorder="1" applyFont="1">
      <alignment readingOrder="0"/>
    </xf>
    <xf borderId="0" fillId="0" fontId="13" numFmtId="0" xfId="0" applyAlignment="1" applyFont="1">
      <alignment horizontal="left"/>
    </xf>
    <xf borderId="12" fillId="4" fontId="8" numFmtId="164" xfId="0" applyAlignment="1" applyBorder="1" applyFont="1" applyNumberFormat="1">
      <alignment horizontal="right" readingOrder="0"/>
    </xf>
    <xf borderId="6" fillId="6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9" fillId="0" fontId="5" numFmtId="164" xfId="0" applyAlignment="1" applyBorder="1" applyFont="1" applyNumberFormat="1">
      <alignment readingOrder="0"/>
    </xf>
    <xf borderId="18" fillId="0" fontId="2" numFmtId="164" xfId="0" applyAlignment="1" applyBorder="1" applyFont="1" applyNumberFormat="1">
      <alignment readingOrder="0"/>
    </xf>
    <xf borderId="0" fillId="0" fontId="13" numFmtId="0" xfId="0" applyAlignment="1" applyFont="1">
      <alignment horizontal="left" readingOrder="0" shrinkToFit="0" vertical="center" wrapText="1"/>
    </xf>
    <xf borderId="0" fillId="0" fontId="13" numFmtId="49" xfId="0" applyAlignment="1" applyFont="1" applyNumberForma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166" xfId="0" applyAlignment="1" applyFont="1" applyNumberFormat="1">
      <alignment shrinkToFit="0" vertical="center" wrapText="0"/>
    </xf>
    <xf borderId="0" fillId="0" fontId="13" numFmtId="49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757070"/>
          <bgColor rgb="FF757070"/>
        </patternFill>
      </fill>
      <border/>
    </dxf>
    <dxf>
      <font>
        <i/>
      </font>
      <fill>
        <patternFill patternType="solid">
          <fgColor rgb="FF757070"/>
          <bgColor rgb="FF75707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Tasks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0</xdr:row>
      <xdr:rowOff>0</xdr:rowOff>
    </xdr:from>
    <xdr:ext cx="1057275" cy="923925"/>
    <xdr:pic>
      <xdr:nvPicPr>
        <xdr:cNvPr descr="C:\Users\User\Downloads\WhatsApp Image 2024-03-25 at 7.40.34 PM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0</xdr:row>
      <xdr:rowOff>0</xdr:rowOff>
    </xdr:from>
    <xdr:ext cx="1057275" cy="923925"/>
    <xdr:pic>
      <xdr:nvPicPr>
        <xdr:cNvPr descr="C:\Users\User\Downloads\WhatsApp Image 2024-03-25 at 7.40.34 PM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wutor Bodjawah" id="{44729027-9880-4622-a3e3-2993a9f5eb5e}" providerId="google-sheets"/>
  <x18tc:person displayName="A satisfied Microsoft Office user" id="{61f2ec36-8a58-46a5-a6be-200f782360e5}" providerId="google-sheets"/>
  <x18tc:person displayName="tc={7167A1BB-9FCD-4708-A99E-7582CF098121}" id="{68e4e5e7-bb96-40f8-acbe-608aa928d673}" providerId="google-sheets"/>
  <x18tc:person displayName="tc={35815B39-7865-4B9F-B4B9-9E459CFC2FBC}" id="{8528420a-ff96-4d20-b304-54f4dd116594}" providerId="google-sheets"/>
  <x18tc:person displayName="tc={D796842A-7D61-4DA5-8730-DCE8C1CD1A7F}" id="{1a32e646-540b-4e4a-a480-2a0cc0355012}" providerId="google-sheets"/>
</x18tc:personList>
</file>

<file path=xl/tables/table1.xml><?xml version="1.0" encoding="utf-8"?>
<table xmlns="http://schemas.openxmlformats.org/spreadsheetml/2006/main" ref="A1:F15" displayName="Project_tasks" name="Project_tasks" id="1">
  <tableColumns count="6">
    <tableColumn name="Task" id="1"/>
    <tableColumn name="Priority" id="2"/>
    <tableColumn name="Status" id="3"/>
    <tableColumn name="Start date" id="4"/>
    <tableColumn name="End date" id="5"/>
    <tableColumn name="Notes" id="6"/>
  </tableColumns>
  <tableStyleInfo name="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4" dT="2025-09-25T19:57:20.00" personId="{44729027-9880-4622-a3e3-2993a9f5eb5e}" id="{502debe6-3f2e-4708-b6e0-8738698f406b}" done="0">
    <x18tc:text xml:space="preserve">this is what was left from April.</x18tc:text>
  </x18tc:threadedComment>
  <x18tc:threadedComment ref="K19" dT="2025-09-25T19:57:20.00" personId="{1a32e646-540b-4e4a-a480-2a0cc0355012}" id="{a9ef4204-12f6-412d-a20c-1ededc045a9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From January till May Kendra did not come to school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F72" dT="2025-09-25T19:57:20.00" personId="{8528420a-ff96-4d20-b304-54f4dd116594}" id="{fde8cef4-293b-42cd-ac94-c32e0848fdc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security man's hospital contribution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A26" dT="2025-09-25T19:57:20.00" personId="{44729027-9880-4622-a3e3-2993a9f5eb5e}" id="{04fd4f2d-154b-47da-a038-f43451e07f88}" done="0">
    <x18tc:text xml:space="preserve">Mawutor Bodjawah:</x18tc:text>
  </x18tc:threadedComment>
  <x18tc:threadedComment ref="C16" dT="2025-09-25T19:57:20.00" personId="{61f2ec36-8a58-46a5-a6be-200f782360e5}" id="{fbadb25f-32d5-4c98-ab56-338dfd21ff6d}" done="0">
    <x18tc:text xml:space="preserve">Enter the name of the month</x18tc:text>
  </x18tc:threadedComment>
  <x18tc:threadedComment ref="B58" dT="2025-09-25T19:57:20.00" personId="{61f2ec36-8a58-46a5-a6be-200f782360e5}" id="{0b8f1c4d-145d-44e0-8dbd-d7305fd95f45}" done="0">
    <x18tc:text xml:space="preserve">Enter mortgage payment only if it is not part of your Self-Help loan payment</x18tc:text>
  </x18tc:threadedComment>
  <x18tc:threadedComment ref="B47" dT="2025-09-25T19:57:20.00" personId="{61f2ec36-8a58-46a5-a6be-200f782360e5}" id="{60d1f29d-7820-4dc7-9131-f6fbfc48d904}" done="0">
    <x18tc:text xml:space="preserve">Includes major purchases: property, renovation, equipment or automobiles</x18tc:text>
  </x18tc:threadedComment>
  <x18tc:threadedComment ref="R60" dT="2025-09-25T19:57:20.00" personId="{68e4e5e7-bb96-40f8-acbe-608aa928d673}" id="{8a0bce83-d167-4703-b43e-9f4326f20f6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300 plumbing, 650 carpentry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8.88"/>
    <col customWidth="1" min="2" max="2" width="19.0"/>
    <col customWidth="1" min="3" max="3" width="12.13"/>
    <col customWidth="1" min="4" max="4" width="12.88"/>
    <col customWidth="1" min="5" max="5" width="11.63"/>
    <col customWidth="1" min="6" max="6" width="12.0"/>
    <col customWidth="1" min="7" max="8" width="13.63"/>
    <col customWidth="1" min="9" max="9" width="15.13"/>
    <col customWidth="1" min="10" max="11" width="13.5"/>
    <col customWidth="1" min="12" max="12" width="15.5"/>
    <col customWidth="1" min="13" max="14" width="15.88"/>
    <col customWidth="1" min="15" max="18" width="19.88"/>
    <col customWidth="1" min="19" max="19" width="17.0"/>
    <col customWidth="1" min="20" max="25" width="9.1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4"/>
      <c r="V2" s="4"/>
      <c r="W2" s="4"/>
      <c r="X2" s="4"/>
      <c r="Y2" s="4"/>
    </row>
    <row r="3" ht="12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4"/>
      <c r="V3" s="4"/>
      <c r="W3" s="4"/>
      <c r="X3" s="4"/>
      <c r="Y3" s="4"/>
    </row>
    <row r="4" ht="12.7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4"/>
      <c r="V4" s="4"/>
      <c r="W4" s="4"/>
      <c r="X4" s="4"/>
      <c r="Y4" s="4"/>
    </row>
    <row r="5" ht="12.7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4"/>
      <c r="V5" s="4"/>
      <c r="W5" s="4"/>
      <c r="X5" s="4"/>
      <c r="Y5" s="4"/>
    </row>
    <row r="6" ht="12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4"/>
      <c r="V6" s="4"/>
      <c r="W6" s="4"/>
      <c r="X6" s="4"/>
      <c r="Y6" s="4"/>
    </row>
    <row r="7" ht="13.5" customHeight="1">
      <c r="A7" s="4"/>
      <c r="B7" s="4"/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2.75" customHeight="1">
      <c r="A8" s="4"/>
      <c r="B8" s="4"/>
      <c r="C8" s="11" t="s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2.75" customHeight="1">
      <c r="A11" s="4" t="s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12" t="s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6.5" customHeight="1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2.75" customHeight="1">
      <c r="A16" s="15" t="s">
        <v>3</v>
      </c>
      <c r="B16" s="16" t="s">
        <v>4</v>
      </c>
      <c r="C16" s="16" t="s">
        <v>5</v>
      </c>
      <c r="D16" s="16" t="s">
        <v>6</v>
      </c>
      <c r="E16" s="16" t="s">
        <v>7</v>
      </c>
      <c r="F16" s="16" t="s">
        <v>8</v>
      </c>
      <c r="G16" s="17" t="s">
        <v>9</v>
      </c>
      <c r="H16" s="16" t="s">
        <v>10</v>
      </c>
      <c r="I16" s="16" t="s">
        <v>11</v>
      </c>
      <c r="J16" s="16" t="s">
        <v>12</v>
      </c>
      <c r="K16" s="18" t="s">
        <v>13</v>
      </c>
      <c r="L16" s="18" t="s">
        <v>14</v>
      </c>
      <c r="M16" s="18" t="s">
        <v>15</v>
      </c>
      <c r="N16" s="19" t="s">
        <v>16</v>
      </c>
      <c r="O16" s="18" t="s">
        <v>5</v>
      </c>
      <c r="P16" s="18" t="s">
        <v>6</v>
      </c>
      <c r="Q16" s="18" t="s">
        <v>7</v>
      </c>
      <c r="R16" s="18" t="s">
        <v>17</v>
      </c>
      <c r="S16" s="16" t="s">
        <v>18</v>
      </c>
      <c r="T16" s="20"/>
      <c r="U16" s="4"/>
      <c r="V16" s="4"/>
      <c r="W16" s="4"/>
      <c r="X16" s="4"/>
      <c r="Y16" s="4"/>
    </row>
    <row r="17" ht="22.5" customHeight="1">
      <c r="A17" s="21" t="s">
        <v>19</v>
      </c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4"/>
      <c r="V17" s="4"/>
      <c r="W17" s="4"/>
      <c r="X17" s="4"/>
      <c r="Y17" s="4"/>
    </row>
    <row r="18" ht="36.75" customHeight="1">
      <c r="A18" s="25" t="s">
        <v>20</v>
      </c>
      <c r="B18" s="2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  <c r="U18" s="4"/>
      <c r="V18" s="4"/>
      <c r="W18" s="4"/>
      <c r="X18" s="4"/>
      <c r="Y18" s="4"/>
    </row>
    <row r="19" ht="12.75" customHeight="1">
      <c r="A19" s="21" t="s">
        <v>21</v>
      </c>
      <c r="B19" s="27">
        <v>0.0</v>
      </c>
      <c r="C19" s="28">
        <f>C17+C18</f>
        <v>0</v>
      </c>
      <c r="D19" s="28">
        <v>5.0</v>
      </c>
      <c r="E19" s="29">
        <v>5.0</v>
      </c>
      <c r="F19" s="29">
        <v>5.0</v>
      </c>
      <c r="G19" s="28">
        <v>10.0</v>
      </c>
      <c r="H19" s="28">
        <v>16.0</v>
      </c>
      <c r="I19" s="28">
        <v>15.0</v>
      </c>
      <c r="J19" s="28">
        <v>14.0</v>
      </c>
      <c r="K19" s="29">
        <v>15.0</v>
      </c>
      <c r="L19" s="29">
        <v>17.0</v>
      </c>
      <c r="M19" s="29">
        <v>18.0</v>
      </c>
      <c r="N19" s="29">
        <v>16.0</v>
      </c>
      <c r="O19" s="29">
        <v>18.0</v>
      </c>
      <c r="P19" s="28">
        <v>18.0</v>
      </c>
      <c r="Q19" s="28">
        <v>19.0</v>
      </c>
      <c r="R19" s="30">
        <v>18.0</v>
      </c>
      <c r="S19" s="28">
        <f>S17+S18</f>
        <v>0</v>
      </c>
      <c r="T19" s="24"/>
      <c r="U19" s="4"/>
      <c r="V19" s="4"/>
      <c r="W19" s="4"/>
      <c r="X19" s="4"/>
      <c r="Y19" s="4"/>
    </row>
    <row r="20" ht="12.75" customHeight="1">
      <c r="A20" s="31"/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3"/>
      <c r="T20" s="24"/>
      <c r="U20" s="4"/>
      <c r="V20" s="4"/>
      <c r="W20" s="4"/>
      <c r="X20" s="4"/>
      <c r="Y20" s="4"/>
    </row>
    <row r="21" ht="33.0" customHeight="1">
      <c r="A21" s="32" t="s">
        <v>22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3"/>
      <c r="T21" s="33" t="s">
        <v>23</v>
      </c>
      <c r="U21" s="4"/>
      <c r="V21" s="4"/>
      <c r="W21" s="4"/>
      <c r="X21" s="4"/>
      <c r="Y21" s="4"/>
    </row>
    <row r="22" ht="12.75" customHeight="1">
      <c r="A22" s="34"/>
      <c r="B22" s="2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3"/>
      <c r="T22" s="35"/>
      <c r="U22" s="4"/>
      <c r="V22" s="4"/>
      <c r="W22" s="4"/>
      <c r="X22" s="4"/>
      <c r="Y22" s="4"/>
    </row>
    <row r="23" ht="12.75" customHeight="1">
      <c r="A23" s="21" t="s">
        <v>24</v>
      </c>
      <c r="B23" s="26"/>
      <c r="C23" s="4"/>
      <c r="D23" s="4">
        <v>1800.0</v>
      </c>
      <c r="E23" s="36">
        <v>1800.0</v>
      </c>
      <c r="F23" s="36">
        <v>1800.0</v>
      </c>
      <c r="G23" s="36">
        <v>4000.0</v>
      </c>
      <c r="H23" s="4">
        <v>5650.0</v>
      </c>
      <c r="I23" s="4">
        <v>3700.0</v>
      </c>
      <c r="J23" s="4">
        <v>5000.0</v>
      </c>
      <c r="K23" s="4">
        <f>'20242025 Students'!B22</f>
        <v>5400</v>
      </c>
      <c r="L23" s="4">
        <f>'20242025 Students'!C22</f>
        <v>6200</v>
      </c>
      <c r="M23" s="4">
        <f>'20242025 Students'!D22</f>
        <v>6200</v>
      </c>
      <c r="N23" s="4">
        <f>'20242025 Students'!E22</f>
        <v>5800</v>
      </c>
      <c r="O23" s="4">
        <f>'20242025 Students'!F22</f>
        <v>6050</v>
      </c>
      <c r="P23" s="4">
        <f>'20242025 Students'!G22</f>
        <v>6600</v>
      </c>
      <c r="Q23" s="4">
        <f>'20242025 Students'!H22</f>
        <v>7000</v>
      </c>
      <c r="R23" s="4">
        <f>'20242025 Students'!I22</f>
        <v>5950</v>
      </c>
      <c r="S23" s="13">
        <f>SUM(C23:O23)</f>
        <v>53400</v>
      </c>
      <c r="T23" s="35">
        <f>S23/$S$33</f>
        <v>0.3886547741</v>
      </c>
      <c r="U23" s="4"/>
      <c r="V23" s="4"/>
      <c r="W23" s="4"/>
      <c r="X23" s="4"/>
      <c r="Y23" s="4"/>
    </row>
    <row r="24" ht="12.75" customHeight="1">
      <c r="A24" s="21"/>
      <c r="B24" s="37">
        <v>3434.0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v>0.0</v>
      </c>
      <c r="P24" s="4"/>
      <c r="Q24" s="4"/>
      <c r="R24" s="4">
        <v>4500.0</v>
      </c>
      <c r="S24" s="13"/>
      <c r="T24" s="35"/>
      <c r="U24" s="4"/>
      <c r="V24" s="4"/>
      <c r="W24" s="4"/>
      <c r="X24" s="4"/>
      <c r="Y24" s="4"/>
    </row>
    <row r="25" ht="12.75" customHeight="1">
      <c r="A25" s="21" t="s">
        <v>25</v>
      </c>
      <c r="B25" s="26"/>
      <c r="C25" s="4"/>
      <c r="D25" s="4"/>
      <c r="E25" s="4"/>
      <c r="F25" s="4"/>
      <c r="G25" s="4">
        <v>1500.0</v>
      </c>
      <c r="H25" s="4">
        <v>1500.0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13">
        <f>SUM(C25:O25)</f>
        <v>3000</v>
      </c>
      <c r="T25" s="35">
        <f>S25/$S$33</f>
        <v>0.02183453787</v>
      </c>
      <c r="U25" s="4"/>
      <c r="V25" s="4"/>
      <c r="W25" s="4"/>
      <c r="X25" s="4"/>
      <c r="Y25" s="4"/>
    </row>
    <row r="26" ht="12.75" customHeight="1">
      <c r="A26" s="21" t="s">
        <v>26</v>
      </c>
      <c r="B26" s="26"/>
      <c r="C26" s="4"/>
      <c r="D26" s="4">
        <v>1500.0</v>
      </c>
      <c r="E26" s="4"/>
      <c r="F26" s="4"/>
      <c r="G26" s="4">
        <v>1500.0</v>
      </c>
      <c r="H26" s="4">
        <v>3000.0</v>
      </c>
      <c r="I26" s="4"/>
      <c r="J26" s="4"/>
      <c r="K26" s="4">
        <v>1200.0</v>
      </c>
      <c r="L26" s="36">
        <v>0.0</v>
      </c>
      <c r="M26" s="4">
        <v>600.0</v>
      </c>
      <c r="N26" s="4"/>
      <c r="O26" s="4"/>
      <c r="P26" s="4">
        <v>600.0</v>
      </c>
      <c r="Q26" s="4">
        <v>0.0</v>
      </c>
      <c r="R26" s="4">
        <v>0.0</v>
      </c>
      <c r="S26" s="13"/>
      <c r="T26" s="35"/>
      <c r="U26" s="4"/>
      <c r="V26" s="4"/>
      <c r="W26" s="4"/>
      <c r="X26" s="4"/>
      <c r="Y26" s="4"/>
    </row>
    <row r="27" ht="12.75" customHeight="1">
      <c r="A27" s="21" t="s">
        <v>27</v>
      </c>
      <c r="B27" s="2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>
        <f t="shared" ref="S27:S28" si="1">SUM(C27:O27)</f>
        <v>0</v>
      </c>
      <c r="T27" s="35">
        <f t="shared" ref="T27:T28" si="2">S27/$S$33</f>
        <v>0</v>
      </c>
      <c r="U27" s="4"/>
      <c r="V27" s="4"/>
      <c r="W27" s="4"/>
      <c r="X27" s="4"/>
      <c r="Y27" s="4"/>
    </row>
    <row r="28" ht="12.75" customHeight="1">
      <c r="A28" s="21" t="s">
        <v>28</v>
      </c>
      <c r="B28" s="2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>
        <f t="shared" si="1"/>
        <v>0</v>
      </c>
      <c r="T28" s="35">
        <f t="shared" si="2"/>
        <v>0</v>
      </c>
      <c r="U28" s="4"/>
      <c r="V28" s="4"/>
      <c r="W28" s="4"/>
      <c r="X28" s="4"/>
      <c r="Y28" s="4"/>
    </row>
    <row r="29" ht="12.75" customHeight="1">
      <c r="A29" s="21" t="s">
        <v>29</v>
      </c>
      <c r="B29" s="26"/>
      <c r="C29" s="4">
        <v>2000.0</v>
      </c>
      <c r="D29" s="4">
        <v>1000.0</v>
      </c>
      <c r="E29" s="4">
        <v>1000.0</v>
      </c>
      <c r="F29" s="4">
        <v>1000.0</v>
      </c>
      <c r="G29" s="4">
        <v>300.0</v>
      </c>
      <c r="H29" s="4">
        <v>3000.0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35"/>
      <c r="U29" s="4"/>
      <c r="V29" s="4"/>
      <c r="W29" s="4"/>
      <c r="X29" s="4"/>
      <c r="Y29" s="4"/>
    </row>
    <row r="30" ht="12.75" customHeight="1">
      <c r="A30" s="21" t="s">
        <v>30</v>
      </c>
      <c r="B30" s="26"/>
      <c r="C30" s="4">
        <v>3700.0</v>
      </c>
      <c r="D30" s="4">
        <v>600.0</v>
      </c>
      <c r="E30" s="4"/>
      <c r="F30" s="4"/>
      <c r="G30" s="4">
        <v>1000.0</v>
      </c>
      <c r="H30" s="4">
        <v>1000.0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35"/>
      <c r="U30" s="4"/>
      <c r="V30" s="4"/>
      <c r="W30" s="4"/>
      <c r="X30" s="4"/>
      <c r="Y30" s="4"/>
    </row>
    <row r="31" ht="12.75" customHeight="1">
      <c r="A31" s="21" t="s">
        <v>31</v>
      </c>
      <c r="B31" s="26"/>
      <c r="C31" s="4">
        <v>7147.0</v>
      </c>
      <c r="D31" s="4">
        <v>5950.0</v>
      </c>
      <c r="E31" s="4"/>
      <c r="F31" s="4">
        <v>25000.0</v>
      </c>
      <c r="G31" s="4">
        <v>1600.0</v>
      </c>
      <c r="H31" s="4">
        <v>5800.0</v>
      </c>
      <c r="I31" s="4"/>
      <c r="J31" s="4">
        <v>3600.0</v>
      </c>
      <c r="K31" s="4"/>
      <c r="L31" s="4"/>
      <c r="M31" s="4"/>
      <c r="N31" s="4"/>
      <c r="O31" s="4"/>
      <c r="P31" s="4"/>
      <c r="Q31" s="4">
        <v>3500.0</v>
      </c>
      <c r="R31" s="4">
        <v>0.0</v>
      </c>
      <c r="S31" s="13"/>
      <c r="T31" s="35"/>
      <c r="U31" s="4"/>
      <c r="V31" s="4"/>
      <c r="W31" s="4"/>
      <c r="X31" s="4"/>
      <c r="Y31" s="4"/>
    </row>
    <row r="32" ht="12.75" customHeight="1">
      <c r="A32" s="21" t="s">
        <v>32</v>
      </c>
      <c r="B32" s="26"/>
      <c r="C32" s="4">
        <v>3000.0</v>
      </c>
      <c r="D32" s="4">
        <v>2000.0</v>
      </c>
      <c r="E32" s="4"/>
      <c r="F32" s="4"/>
      <c r="G32" s="4">
        <v>1000.0</v>
      </c>
      <c r="H32" s="4">
        <v>2500.0</v>
      </c>
      <c r="I32" s="4"/>
      <c r="J32" s="4">
        <v>1000.0</v>
      </c>
      <c r="K32" s="4"/>
      <c r="L32" s="4"/>
      <c r="M32" s="4"/>
      <c r="N32" s="4"/>
      <c r="O32" s="4"/>
      <c r="P32" s="4"/>
      <c r="Q32" s="4"/>
      <c r="R32" s="4"/>
      <c r="S32" s="13">
        <f t="shared" ref="S32:S33" si="4">SUM(C32:O32)</f>
        <v>9500</v>
      </c>
      <c r="T32" s="35">
        <f t="shared" ref="T32:T33" si="5">S32/$S$33</f>
        <v>0.06914270326</v>
      </c>
      <c r="U32" s="4"/>
      <c r="V32" s="4"/>
      <c r="W32" s="4"/>
      <c r="X32" s="4"/>
      <c r="Y32" s="4"/>
    </row>
    <row r="33" ht="12.75" customHeight="1">
      <c r="A33" s="38" t="s">
        <v>33</v>
      </c>
      <c r="B33" s="39">
        <f t="shared" ref="B33:R33" si="3">SUM(B23:B32)</f>
        <v>3434</v>
      </c>
      <c r="C33" s="40">
        <f t="shared" si="3"/>
        <v>15847</v>
      </c>
      <c r="D33" s="40">
        <f t="shared" si="3"/>
        <v>12850</v>
      </c>
      <c r="E33" s="40">
        <f t="shared" si="3"/>
        <v>2800</v>
      </c>
      <c r="F33" s="40">
        <f t="shared" si="3"/>
        <v>27800</v>
      </c>
      <c r="G33" s="40">
        <f t="shared" si="3"/>
        <v>10900</v>
      </c>
      <c r="H33" s="40">
        <f t="shared" si="3"/>
        <v>22450</v>
      </c>
      <c r="I33" s="40">
        <f t="shared" si="3"/>
        <v>3700</v>
      </c>
      <c r="J33" s="40">
        <f t="shared" si="3"/>
        <v>9600</v>
      </c>
      <c r="K33" s="40">
        <f t="shared" si="3"/>
        <v>6600</v>
      </c>
      <c r="L33" s="40">
        <f t="shared" si="3"/>
        <v>6200</v>
      </c>
      <c r="M33" s="40">
        <f t="shared" si="3"/>
        <v>6800</v>
      </c>
      <c r="N33" s="40">
        <f t="shared" si="3"/>
        <v>5800</v>
      </c>
      <c r="O33" s="40">
        <f t="shared" si="3"/>
        <v>6050</v>
      </c>
      <c r="P33" s="40">
        <f t="shared" si="3"/>
        <v>7200</v>
      </c>
      <c r="Q33" s="40">
        <f t="shared" si="3"/>
        <v>10500</v>
      </c>
      <c r="R33" s="40">
        <f t="shared" si="3"/>
        <v>10450</v>
      </c>
      <c r="S33" s="41">
        <f t="shared" si="4"/>
        <v>137397</v>
      </c>
      <c r="T33" s="42">
        <f t="shared" si="5"/>
        <v>1</v>
      </c>
      <c r="U33" s="4"/>
      <c r="V33" s="4"/>
      <c r="W33" s="4"/>
      <c r="X33" s="4"/>
      <c r="Y33" s="4"/>
    </row>
    <row r="34" ht="12.75" customHeight="1">
      <c r="A34" s="15" t="s">
        <v>3</v>
      </c>
      <c r="B34" s="43" t="s">
        <v>4</v>
      </c>
      <c r="C34" s="16" t="s">
        <v>34</v>
      </c>
      <c r="D34" s="16" t="s">
        <v>35</v>
      </c>
      <c r="E34" s="16" t="s">
        <v>36</v>
      </c>
      <c r="F34" s="16" t="s">
        <v>37</v>
      </c>
      <c r="G34" s="16" t="s">
        <v>38</v>
      </c>
      <c r="H34" s="16" t="s">
        <v>39</v>
      </c>
      <c r="I34" s="16" t="s">
        <v>40</v>
      </c>
      <c r="J34" s="16" t="s">
        <v>41</v>
      </c>
      <c r="K34" s="16" t="s">
        <v>42</v>
      </c>
      <c r="L34" s="16" t="s">
        <v>43</v>
      </c>
      <c r="M34" s="16" t="s">
        <v>44</v>
      </c>
      <c r="N34" s="16"/>
      <c r="O34" s="16" t="s">
        <v>45</v>
      </c>
      <c r="P34" s="16" t="s">
        <v>45</v>
      </c>
      <c r="Q34" s="16" t="s">
        <v>45</v>
      </c>
      <c r="R34" s="16" t="s">
        <v>45</v>
      </c>
      <c r="S34" s="16" t="s">
        <v>18</v>
      </c>
      <c r="T34" s="44"/>
      <c r="U34" s="4"/>
      <c r="V34" s="4"/>
      <c r="W34" s="4"/>
      <c r="X34" s="4"/>
      <c r="Y34" s="4"/>
    </row>
    <row r="35" ht="12.75" customHeight="1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"/>
      <c r="V35" s="4"/>
      <c r="W35" s="4"/>
      <c r="X35" s="4"/>
      <c r="Y35" s="4"/>
    </row>
    <row r="36" ht="31.5" customHeight="1">
      <c r="A36" s="32" t="s">
        <v>46</v>
      </c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24"/>
      <c r="U36" s="4"/>
      <c r="V36" s="4"/>
      <c r="W36" s="4"/>
      <c r="X36" s="4"/>
      <c r="Y36" s="4"/>
    </row>
    <row r="37" ht="12.75" customHeight="1">
      <c r="A37" s="21"/>
      <c r="B37" s="2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>
        <f t="shared" ref="S37:S39" si="6">SUM(C37:O37)</f>
        <v>0</v>
      </c>
      <c r="T37" s="24">
        <f t="shared" ref="T37:T39" si="7">S37/$S$33</f>
        <v>0</v>
      </c>
      <c r="U37" s="4"/>
      <c r="V37" s="4"/>
      <c r="W37" s="4"/>
      <c r="X37" s="4"/>
      <c r="Y37" s="4"/>
    </row>
    <row r="38" ht="12.75" customHeight="1">
      <c r="A38" s="49" t="s">
        <v>47</v>
      </c>
      <c r="B38" s="2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>
        <f t="shared" si="6"/>
        <v>0</v>
      </c>
      <c r="T38" s="24">
        <f t="shared" si="7"/>
        <v>0</v>
      </c>
      <c r="U38" s="4"/>
      <c r="V38" s="4"/>
      <c r="W38" s="4"/>
      <c r="X38" s="4"/>
      <c r="Y38" s="4"/>
    </row>
    <row r="39" ht="12.75" customHeight="1">
      <c r="A39" s="21" t="s">
        <v>48</v>
      </c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>
        <f t="shared" si="6"/>
        <v>0</v>
      </c>
      <c r="T39" s="24">
        <f t="shared" si="7"/>
        <v>0</v>
      </c>
      <c r="U39" s="4"/>
      <c r="V39" s="4"/>
      <c r="W39" s="4"/>
      <c r="X39" s="4"/>
      <c r="Y39" s="4"/>
    </row>
    <row r="40" ht="12.75" customHeight="1">
      <c r="A40" s="21" t="s">
        <v>49</v>
      </c>
      <c r="B40" s="26"/>
      <c r="C40" s="4">
        <v>1333.3</v>
      </c>
      <c r="D40" s="4">
        <v>2000.0</v>
      </c>
      <c r="E40" s="4">
        <v>2000.0</v>
      </c>
      <c r="F40" s="4">
        <v>2000.0</v>
      </c>
      <c r="G40" s="4">
        <v>2000.0</v>
      </c>
      <c r="H40" s="4">
        <v>2000.0</v>
      </c>
      <c r="I40" s="4">
        <v>2000.0</v>
      </c>
      <c r="J40" s="4">
        <v>2000.0</v>
      </c>
      <c r="K40" s="4">
        <v>1500.0</v>
      </c>
      <c r="L40" s="4">
        <v>1500.0</v>
      </c>
      <c r="M40" s="4">
        <v>1500.0</v>
      </c>
      <c r="N40" s="4">
        <v>1500.0</v>
      </c>
      <c r="O40" s="4">
        <v>1500.0</v>
      </c>
      <c r="P40" s="4">
        <v>1500.0</v>
      </c>
      <c r="Q40" s="4">
        <v>1500.0</v>
      </c>
      <c r="R40" s="4">
        <v>1500.0</v>
      </c>
      <c r="S40" s="13"/>
      <c r="T40" s="24"/>
      <c r="U40" s="4"/>
      <c r="V40" s="4"/>
      <c r="W40" s="4"/>
      <c r="X40" s="4"/>
      <c r="Y40" s="4"/>
    </row>
    <row r="41" ht="12.75" customHeight="1">
      <c r="A41" s="21" t="s">
        <v>50</v>
      </c>
      <c r="B41" s="26"/>
      <c r="C41" s="4">
        <v>533.3</v>
      </c>
      <c r="D41" s="4">
        <v>800.0</v>
      </c>
      <c r="E41" s="4">
        <v>800.0</v>
      </c>
      <c r="F41" s="4">
        <v>800.0</v>
      </c>
      <c r="G41" s="4">
        <v>800.0</v>
      </c>
      <c r="H41" s="4">
        <v>800.0</v>
      </c>
      <c r="I41" s="4">
        <v>800.0</v>
      </c>
      <c r="J41" s="4">
        <v>800.0</v>
      </c>
      <c r="K41" s="4">
        <v>800.0</v>
      </c>
      <c r="L41" s="4">
        <v>800.0</v>
      </c>
      <c r="M41" s="4">
        <v>800.0</v>
      </c>
      <c r="N41" s="4">
        <v>800.0</v>
      </c>
      <c r="O41" s="4">
        <v>800.0</v>
      </c>
      <c r="P41" s="4">
        <v>800.0</v>
      </c>
      <c r="Q41" s="4">
        <v>800.0</v>
      </c>
      <c r="R41" s="4">
        <v>800.0</v>
      </c>
      <c r="S41" s="13">
        <f t="shared" ref="S41:S44" si="8">SUM(C41:O41)</f>
        <v>10133.3</v>
      </c>
      <c r="T41" s="24">
        <f t="shared" ref="T41:T44" si="9">S41/$S$33</f>
        <v>0.07375197421</v>
      </c>
      <c r="U41" s="4"/>
      <c r="V41" s="4"/>
      <c r="W41" s="4"/>
      <c r="X41" s="4"/>
      <c r="Y41" s="4"/>
    </row>
    <row r="42" ht="12.75" customHeight="1">
      <c r="A42" s="21" t="s">
        <v>51</v>
      </c>
      <c r="B42" s="2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3">
        <f t="shared" si="8"/>
        <v>0</v>
      </c>
      <c r="T42" s="24">
        <f t="shared" si="9"/>
        <v>0</v>
      </c>
      <c r="U42" s="4"/>
      <c r="V42" s="4"/>
      <c r="W42" s="4"/>
      <c r="X42" s="4"/>
      <c r="Y42" s="4"/>
    </row>
    <row r="43" ht="12.75" customHeight="1">
      <c r="A43" s="50" t="s">
        <v>52</v>
      </c>
      <c r="B43" s="26"/>
      <c r="C43" s="4"/>
      <c r="D43" s="4"/>
      <c r="E43" s="4"/>
      <c r="F43" s="4"/>
      <c r="G43" s="4">
        <v>229.5</v>
      </c>
      <c r="H43" s="4">
        <v>460.0</v>
      </c>
      <c r="I43" s="4">
        <v>230.0</v>
      </c>
      <c r="J43" s="4">
        <v>230.0</v>
      </c>
      <c r="K43" s="4">
        <v>230.0</v>
      </c>
      <c r="L43" s="4">
        <v>230.0</v>
      </c>
      <c r="M43" s="4">
        <v>230.0</v>
      </c>
      <c r="N43" s="4">
        <v>230.0</v>
      </c>
      <c r="O43" s="4">
        <v>230.0</v>
      </c>
      <c r="P43" s="4">
        <v>230.0</v>
      </c>
      <c r="Q43" s="4">
        <v>230.0</v>
      </c>
      <c r="R43" s="4">
        <v>230.0</v>
      </c>
      <c r="S43" s="13">
        <f t="shared" si="8"/>
        <v>2299.5</v>
      </c>
      <c r="T43" s="24">
        <f t="shared" si="9"/>
        <v>0.01673617328</v>
      </c>
      <c r="U43" s="4"/>
      <c r="V43" s="4"/>
      <c r="W43" s="4"/>
      <c r="X43" s="4"/>
      <c r="Y43" s="4"/>
    </row>
    <row r="44" ht="12.75" customHeight="1">
      <c r="A44" s="21" t="s">
        <v>53</v>
      </c>
      <c r="B44" s="26">
        <f>B33*0.08</f>
        <v>274.72</v>
      </c>
      <c r="C44" s="4"/>
      <c r="D44" s="4">
        <v>562.0</v>
      </c>
      <c r="E44" s="4">
        <v>130.0</v>
      </c>
      <c r="F44" s="4">
        <v>130.0</v>
      </c>
      <c r="G44" s="4">
        <v>200.0</v>
      </c>
      <c r="H44" s="4"/>
      <c r="I44" s="4">
        <v>301.0</v>
      </c>
      <c r="J44" s="4">
        <v>1299.0</v>
      </c>
      <c r="K44" s="4"/>
      <c r="L44" s="4"/>
      <c r="M44" s="4"/>
      <c r="N44" s="4"/>
      <c r="O44" s="4">
        <v>200.0</v>
      </c>
      <c r="P44" s="4"/>
      <c r="Q44" s="4">
        <v>30.0</v>
      </c>
      <c r="R44" s="4">
        <v>150.0</v>
      </c>
      <c r="S44" s="13">
        <f t="shared" si="8"/>
        <v>2822</v>
      </c>
      <c r="T44" s="24">
        <f t="shared" si="9"/>
        <v>0.02053902196</v>
      </c>
      <c r="U44" s="4"/>
      <c r="V44" s="4"/>
      <c r="W44" s="4"/>
      <c r="X44" s="4"/>
      <c r="Y44" s="4"/>
    </row>
    <row r="45" ht="12.75" customHeight="1">
      <c r="A45" s="21"/>
      <c r="B45" s="2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3"/>
      <c r="T45" s="24"/>
      <c r="U45" s="4"/>
      <c r="V45" s="4"/>
      <c r="W45" s="4"/>
      <c r="X45" s="4"/>
      <c r="Y45" s="4"/>
    </row>
    <row r="46" ht="12.75" customHeight="1">
      <c r="A46" s="49" t="s">
        <v>54</v>
      </c>
      <c r="B46" s="2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3"/>
      <c r="T46" s="24"/>
      <c r="U46" s="4"/>
      <c r="V46" s="4"/>
      <c r="W46" s="4"/>
      <c r="X46" s="4"/>
      <c r="Y46" s="4"/>
    </row>
    <row r="47" ht="12.75" customHeight="1">
      <c r="A47" s="21" t="s">
        <v>55</v>
      </c>
      <c r="B47" s="26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2"/>
      <c r="T47" s="53"/>
      <c r="U47" s="4"/>
      <c r="V47" s="4"/>
      <c r="W47" s="4"/>
      <c r="X47" s="4"/>
      <c r="Y47" s="4"/>
    </row>
    <row r="48" ht="12.75" customHeight="1">
      <c r="A48" s="21"/>
      <c r="B48" s="2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3"/>
      <c r="T48" s="24"/>
      <c r="U48" s="4"/>
      <c r="V48" s="4"/>
      <c r="W48" s="4"/>
      <c r="X48" s="4"/>
      <c r="Y48" s="4"/>
    </row>
    <row r="49" ht="12.75" customHeight="1">
      <c r="A49" s="49" t="s">
        <v>56</v>
      </c>
      <c r="B49" s="2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3"/>
      <c r="T49" s="24"/>
      <c r="U49" s="4"/>
      <c r="V49" s="4"/>
      <c r="W49" s="4"/>
      <c r="X49" s="4"/>
      <c r="Y49" s="4"/>
    </row>
    <row r="50" ht="12.75" customHeight="1">
      <c r="A50" s="21" t="s">
        <v>57</v>
      </c>
      <c r="B50" s="2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3"/>
      <c r="T50" s="24"/>
      <c r="U50" s="4"/>
      <c r="V50" s="4"/>
      <c r="W50" s="4"/>
      <c r="X50" s="4"/>
      <c r="Y50" s="4"/>
    </row>
    <row r="51" ht="12.75" customHeight="1">
      <c r="A51" s="21" t="s">
        <v>58</v>
      </c>
      <c r="B51" s="2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3">
        <f t="shared" ref="S51:S52" si="10">SUM(C51:O51)</f>
        <v>0</v>
      </c>
      <c r="T51" s="24">
        <f t="shared" ref="T51:T52" si="11">S51/$S$33</f>
        <v>0</v>
      </c>
      <c r="U51" s="4"/>
      <c r="V51" s="4"/>
      <c r="W51" s="4"/>
      <c r="X51" s="4"/>
      <c r="Y51" s="4"/>
    </row>
    <row r="52" ht="12.75" customHeight="1">
      <c r="A52" s="21" t="s">
        <v>59</v>
      </c>
      <c r="B52" s="2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3">
        <f t="shared" si="10"/>
        <v>0</v>
      </c>
      <c r="T52" s="24">
        <f t="shared" si="11"/>
        <v>0</v>
      </c>
      <c r="U52" s="4"/>
      <c r="V52" s="4"/>
      <c r="W52" s="4"/>
      <c r="X52" s="4"/>
      <c r="Y52" s="4"/>
    </row>
    <row r="53" ht="12.75" customHeight="1">
      <c r="A53" s="21" t="s">
        <v>60</v>
      </c>
      <c r="B53" s="26">
        <v>400.0</v>
      </c>
      <c r="C53" s="4">
        <v>800.0</v>
      </c>
      <c r="D53" s="4">
        <v>800.0</v>
      </c>
      <c r="E53" s="4">
        <v>800.0</v>
      </c>
      <c r="F53" s="4">
        <v>800.0</v>
      </c>
      <c r="G53" s="4">
        <v>800.0</v>
      </c>
      <c r="H53" s="4">
        <v>800.0</v>
      </c>
      <c r="I53" s="4">
        <v>800.0</v>
      </c>
      <c r="J53" s="4">
        <v>800.0</v>
      </c>
      <c r="K53" s="4">
        <v>800.0</v>
      </c>
      <c r="L53" s="4">
        <v>800.0</v>
      </c>
      <c r="M53" s="4">
        <v>800.0</v>
      </c>
      <c r="N53" s="4">
        <v>800.0</v>
      </c>
      <c r="O53" s="4">
        <v>800.0</v>
      </c>
      <c r="P53" s="4">
        <v>800.0</v>
      </c>
      <c r="Q53" s="4">
        <v>800.0</v>
      </c>
      <c r="R53" s="4">
        <v>800.0</v>
      </c>
      <c r="S53" s="13"/>
      <c r="T53" s="24"/>
      <c r="U53" s="4"/>
      <c r="V53" s="4"/>
      <c r="W53" s="4"/>
      <c r="X53" s="4"/>
      <c r="Y53" s="4"/>
    </row>
    <row r="54" ht="12.75" customHeight="1">
      <c r="A54" s="21" t="s">
        <v>61</v>
      </c>
      <c r="B54" s="26"/>
      <c r="C54" s="4">
        <v>400.0</v>
      </c>
      <c r="D54" s="4">
        <v>600.0</v>
      </c>
      <c r="E54" s="4">
        <v>600.0</v>
      </c>
      <c r="F54" s="4">
        <v>600.0</v>
      </c>
      <c r="G54" s="4">
        <v>600.0</v>
      </c>
      <c r="H54" s="4">
        <v>600.0</v>
      </c>
      <c r="I54" s="4">
        <v>600.0</v>
      </c>
      <c r="J54" s="4">
        <v>600.0</v>
      </c>
      <c r="K54" s="4">
        <v>600.0</v>
      </c>
      <c r="L54" s="4">
        <v>600.0</v>
      </c>
      <c r="M54" s="4">
        <v>600.0</v>
      </c>
      <c r="N54" s="4">
        <v>600.0</v>
      </c>
      <c r="O54" s="4">
        <v>600.0</v>
      </c>
      <c r="P54" s="4">
        <v>600.0</v>
      </c>
      <c r="Q54" s="4">
        <v>600.0</v>
      </c>
      <c r="R54" s="4">
        <v>600.0</v>
      </c>
      <c r="S54" s="13"/>
      <c r="T54" s="24"/>
      <c r="U54" s="4"/>
      <c r="V54" s="4"/>
      <c r="W54" s="4"/>
      <c r="X54" s="4"/>
      <c r="Y54" s="4"/>
    </row>
    <row r="55" ht="14.25" customHeight="1">
      <c r="A55" s="54" t="s">
        <v>62</v>
      </c>
      <c r="B55" s="2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3">
        <f t="shared" ref="S55:S56" si="12">SUM(C55:O55)</f>
        <v>0</v>
      </c>
      <c r="T55" s="24">
        <f t="shared" ref="T55:T56" si="13">S55/$S$33</f>
        <v>0</v>
      </c>
      <c r="U55" s="4"/>
      <c r="V55" s="4"/>
      <c r="W55" s="4"/>
      <c r="X55" s="4"/>
      <c r="Y55" s="4"/>
    </row>
    <row r="56" ht="14.25" customHeight="1">
      <c r="A56" s="21" t="s">
        <v>63</v>
      </c>
      <c r="B56" s="2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3">
        <f t="shared" si="12"/>
        <v>0</v>
      </c>
      <c r="T56" s="24">
        <f t="shared" si="13"/>
        <v>0</v>
      </c>
      <c r="U56" s="4"/>
      <c r="V56" s="4"/>
      <c r="W56" s="4"/>
      <c r="X56" s="4"/>
      <c r="Y56" s="4"/>
    </row>
    <row r="57" ht="14.25" customHeight="1">
      <c r="A57" s="54" t="s">
        <v>64</v>
      </c>
      <c r="B57" s="2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3"/>
      <c r="T57" s="24"/>
      <c r="U57" s="4"/>
      <c r="V57" s="4"/>
      <c r="W57" s="4"/>
      <c r="X57" s="4"/>
      <c r="Y57" s="4"/>
    </row>
    <row r="58" ht="12.75" customHeight="1">
      <c r="A58" s="55" t="s">
        <v>65</v>
      </c>
      <c r="B58" s="2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3">
        <f t="shared" ref="S58:S61" si="14">SUM(C58:O58)</f>
        <v>0</v>
      </c>
      <c r="T58" s="24">
        <f t="shared" ref="T58:T61" si="15">S58/$S$33</f>
        <v>0</v>
      </c>
      <c r="U58" s="4"/>
      <c r="V58" s="4"/>
      <c r="W58" s="4"/>
      <c r="X58" s="4"/>
      <c r="Y58" s="4"/>
    </row>
    <row r="59" ht="14.25" customHeight="1">
      <c r="A59" s="56" t="s">
        <v>66</v>
      </c>
      <c r="B59" s="26"/>
      <c r="C59" s="4">
        <v>300.0</v>
      </c>
      <c r="D59" s="4">
        <v>400.0</v>
      </c>
      <c r="E59" s="4">
        <v>450.0</v>
      </c>
      <c r="F59" s="4">
        <v>400.0</v>
      </c>
      <c r="G59" s="4">
        <v>600.0</v>
      </c>
      <c r="H59" s="4">
        <v>400.0</v>
      </c>
      <c r="I59" s="4">
        <v>660.0</v>
      </c>
      <c r="J59" s="4">
        <v>3640.0</v>
      </c>
      <c r="K59" s="4">
        <v>400.0</v>
      </c>
      <c r="L59" s="4">
        <v>387.3</v>
      </c>
      <c r="M59" s="4">
        <v>400.0</v>
      </c>
      <c r="N59" s="4">
        <v>400.0</v>
      </c>
      <c r="O59" s="4">
        <v>320.0</v>
      </c>
      <c r="P59" s="4">
        <v>220.0</v>
      </c>
      <c r="Q59" s="4">
        <v>397.0</v>
      </c>
      <c r="R59" s="4">
        <v>390.0</v>
      </c>
      <c r="S59" s="13">
        <f t="shared" si="14"/>
        <v>8757.3</v>
      </c>
      <c r="T59" s="24">
        <f t="shared" si="15"/>
        <v>0.0637371995</v>
      </c>
      <c r="U59" s="4"/>
      <c r="V59" s="4"/>
      <c r="W59" s="4"/>
      <c r="X59" s="4"/>
      <c r="Y59" s="4"/>
    </row>
    <row r="60" ht="14.25" customHeight="1">
      <c r="A60" s="21" t="s">
        <v>67</v>
      </c>
      <c r="B60" s="26"/>
      <c r="C60" s="4">
        <v>7910.0</v>
      </c>
      <c r="D60" s="4">
        <v>510.0</v>
      </c>
      <c r="E60" s="4">
        <v>2495.0</v>
      </c>
      <c r="F60" s="4">
        <v>350.0</v>
      </c>
      <c r="G60" s="4">
        <v>700.0</v>
      </c>
      <c r="H60" s="4">
        <v>1550.0</v>
      </c>
      <c r="I60" s="4"/>
      <c r="J60" s="4"/>
      <c r="K60" s="4">
        <v>400.0</v>
      </c>
      <c r="L60" s="4">
        <v>500.0</v>
      </c>
      <c r="M60" s="4">
        <v>100.0</v>
      </c>
      <c r="N60" s="4"/>
      <c r="O60" s="4"/>
      <c r="P60" s="4"/>
      <c r="Q60" s="4">
        <v>150.0</v>
      </c>
      <c r="R60" s="4">
        <v>950.0</v>
      </c>
      <c r="S60" s="13">
        <f t="shared" si="14"/>
        <v>14515</v>
      </c>
      <c r="T60" s="24">
        <f t="shared" si="15"/>
        <v>0.1056427724</v>
      </c>
      <c r="U60" s="4"/>
      <c r="V60" s="4"/>
      <c r="W60" s="4"/>
      <c r="X60" s="4"/>
      <c r="Y60" s="4"/>
    </row>
    <row r="61" ht="12.75" customHeight="1">
      <c r="A61" s="21" t="s">
        <v>68</v>
      </c>
      <c r="B61" s="26"/>
      <c r="C61" s="4"/>
      <c r="D61" s="4"/>
      <c r="E61" s="4"/>
      <c r="F61" s="4"/>
      <c r="G61" s="4"/>
      <c r="H61" s="4"/>
      <c r="I61" s="4"/>
      <c r="J61" s="4">
        <v>515.0</v>
      </c>
      <c r="K61" s="4"/>
      <c r="L61" s="4"/>
      <c r="M61" s="4"/>
      <c r="N61" s="4"/>
      <c r="O61" s="4"/>
      <c r="P61" s="4"/>
      <c r="Q61" s="4"/>
      <c r="R61" s="4"/>
      <c r="S61" s="13">
        <f t="shared" si="14"/>
        <v>515</v>
      </c>
      <c r="T61" s="24">
        <f t="shared" si="15"/>
        <v>0.003748262335</v>
      </c>
      <c r="U61" s="4"/>
      <c r="V61" s="4"/>
      <c r="W61" s="4"/>
      <c r="X61" s="4"/>
      <c r="Y61" s="4"/>
    </row>
    <row r="62" ht="12.75" customHeight="1">
      <c r="A62" s="21" t="s">
        <v>69</v>
      </c>
      <c r="B62" s="26"/>
      <c r="C62" s="4">
        <v>1000.0</v>
      </c>
      <c r="D62" s="4">
        <v>1000.0</v>
      </c>
      <c r="E62" s="4">
        <v>1000.0</v>
      </c>
      <c r="F62" s="4">
        <v>1000.0</v>
      </c>
      <c r="G62" s="4">
        <v>1000.0</v>
      </c>
      <c r="H62" s="4">
        <v>1000.0</v>
      </c>
      <c r="I62" s="4">
        <v>1000.0</v>
      </c>
      <c r="J62" s="4">
        <v>1000.0</v>
      </c>
      <c r="K62" s="4">
        <v>1000.0</v>
      </c>
      <c r="L62" s="4">
        <v>1000.0</v>
      </c>
      <c r="M62" s="4">
        <v>1000.0</v>
      </c>
      <c r="N62" s="4">
        <v>1000.0</v>
      </c>
      <c r="O62" s="4">
        <v>1000.0</v>
      </c>
      <c r="P62" s="4">
        <v>1000.0</v>
      </c>
      <c r="Q62" s="4">
        <v>1037.0</v>
      </c>
      <c r="R62" s="4">
        <v>1000.0</v>
      </c>
      <c r="S62" s="13"/>
      <c r="T62" s="24"/>
      <c r="U62" s="4"/>
      <c r="V62" s="4"/>
      <c r="W62" s="4"/>
      <c r="X62" s="4"/>
      <c r="Y62" s="4"/>
    </row>
    <row r="63" ht="12.75" customHeight="1">
      <c r="A63" s="56" t="s">
        <v>70</v>
      </c>
      <c r="B63" s="2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v>130.0</v>
      </c>
      <c r="Q63" s="4"/>
      <c r="R63" s="4"/>
      <c r="S63" s="13">
        <f t="shared" ref="S63:S66" si="16">SUM(C63:O63)</f>
        <v>0</v>
      </c>
      <c r="T63" s="24">
        <f t="shared" ref="T63:T66" si="17">S63/$S$33</f>
        <v>0</v>
      </c>
      <c r="U63" s="4"/>
      <c r="V63" s="4"/>
      <c r="W63" s="4"/>
      <c r="X63" s="4"/>
      <c r="Y63" s="4"/>
    </row>
    <row r="64" ht="12.75" customHeight="1">
      <c r="A64" s="56" t="s">
        <v>71</v>
      </c>
      <c r="B64" s="26"/>
      <c r="C64" s="4">
        <v>917.0</v>
      </c>
      <c r="D64" s="4">
        <v>650.0</v>
      </c>
      <c r="E64" s="4">
        <v>280.0</v>
      </c>
      <c r="F64" s="4"/>
      <c r="G64" s="4">
        <v>4200.0</v>
      </c>
      <c r="H64" s="4">
        <v>8410.0</v>
      </c>
      <c r="I64" s="4">
        <v>750.0</v>
      </c>
      <c r="J64" s="4"/>
      <c r="K64" s="4">
        <v>900.0</v>
      </c>
      <c r="L64" s="4">
        <v>600.0</v>
      </c>
      <c r="M64" s="4">
        <v>200.0</v>
      </c>
      <c r="N64" s="4"/>
      <c r="O64" s="4">
        <v>350.0</v>
      </c>
      <c r="P64" s="4"/>
      <c r="Q64" s="4"/>
      <c r="R64" s="4">
        <v>400.0</v>
      </c>
      <c r="S64" s="13">
        <f t="shared" si="16"/>
        <v>17257</v>
      </c>
      <c r="T64" s="24">
        <f t="shared" si="17"/>
        <v>0.12559954</v>
      </c>
      <c r="U64" s="4"/>
      <c r="V64" s="4"/>
      <c r="W64" s="4"/>
      <c r="X64" s="4"/>
      <c r="Y64" s="4"/>
    </row>
    <row r="65" ht="12.75" customHeight="1">
      <c r="A65" s="56" t="s">
        <v>72</v>
      </c>
      <c r="B65" s="2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3">
        <f t="shared" si="16"/>
        <v>0</v>
      </c>
      <c r="T65" s="24">
        <f t="shared" si="17"/>
        <v>0</v>
      </c>
      <c r="U65" s="4"/>
      <c r="V65" s="4"/>
      <c r="W65" s="4"/>
      <c r="X65" s="4"/>
      <c r="Y65" s="4"/>
    </row>
    <row r="66" ht="12.75" customHeight="1">
      <c r="A66" s="21" t="s">
        <v>73</v>
      </c>
      <c r="B66" s="2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3">
        <f t="shared" si="16"/>
        <v>0</v>
      </c>
      <c r="T66" s="24">
        <f t="shared" si="17"/>
        <v>0</v>
      </c>
      <c r="U66" s="4"/>
      <c r="V66" s="4"/>
      <c r="W66" s="4"/>
      <c r="X66" s="4"/>
      <c r="Y66" s="4"/>
    </row>
    <row r="67" ht="12.75" customHeight="1">
      <c r="A67" s="21" t="s">
        <v>74</v>
      </c>
      <c r="B67" s="2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3"/>
      <c r="T67" s="24"/>
      <c r="U67" s="4"/>
      <c r="V67" s="4"/>
      <c r="W67" s="4"/>
      <c r="X67" s="4"/>
      <c r="Y67" s="4"/>
    </row>
    <row r="68" ht="12.75" customHeight="1">
      <c r="A68" s="21" t="s">
        <v>75</v>
      </c>
      <c r="B68" s="26"/>
      <c r="C68" s="4">
        <v>1150.0</v>
      </c>
      <c r="D68" s="4">
        <v>400.0</v>
      </c>
      <c r="E68" s="4"/>
      <c r="F68" s="4">
        <v>250.0</v>
      </c>
      <c r="G68" s="4">
        <f>2200+500+600+500+250</f>
        <v>4050</v>
      </c>
      <c r="H68" s="4">
        <v>300.0</v>
      </c>
      <c r="I68" s="4"/>
      <c r="J68" s="4"/>
      <c r="K68" s="4"/>
      <c r="L68" s="4"/>
      <c r="M68" s="4"/>
      <c r="N68" s="4"/>
      <c r="O68" s="4"/>
      <c r="P68" s="4"/>
      <c r="Q68" s="4"/>
      <c r="R68" s="4">
        <v>0.0</v>
      </c>
      <c r="S68" s="13">
        <f t="shared" ref="S68:S72" si="18">SUM(C68:O68)</f>
        <v>6150</v>
      </c>
      <c r="T68" s="24">
        <f t="shared" ref="T68:T72" si="19">S68/$S$33</f>
        <v>0.04476080264</v>
      </c>
      <c r="U68" s="4"/>
      <c r="V68" s="4"/>
      <c r="W68" s="4"/>
      <c r="X68" s="4"/>
      <c r="Y68" s="4"/>
    </row>
    <row r="69" ht="12.75" customHeight="1">
      <c r="A69" s="56" t="s">
        <v>76</v>
      </c>
      <c r="B69" s="26"/>
      <c r="C69" s="4">
        <v>420.0</v>
      </c>
      <c r="D69" s="4">
        <v>650.0</v>
      </c>
      <c r="E69" s="4"/>
      <c r="F69" s="4"/>
      <c r="G69" s="4">
        <f>13477+480</f>
        <v>13957</v>
      </c>
      <c r="H69" s="4">
        <v>949.0</v>
      </c>
      <c r="I69" s="4">
        <v>450.0</v>
      </c>
      <c r="J69" s="4"/>
      <c r="K69" s="4"/>
      <c r="L69" s="4"/>
      <c r="M69" s="4"/>
      <c r="N69" s="4"/>
      <c r="O69" s="4"/>
      <c r="P69" s="4"/>
      <c r="Q69" s="4">
        <v>3500.0</v>
      </c>
      <c r="R69" s="4">
        <v>5000.0</v>
      </c>
      <c r="S69" s="13">
        <f t="shared" si="18"/>
        <v>16426</v>
      </c>
      <c r="T69" s="24">
        <f t="shared" si="19"/>
        <v>0.119551373</v>
      </c>
      <c r="U69" s="4"/>
      <c r="V69" s="4"/>
      <c r="W69" s="4"/>
      <c r="X69" s="4"/>
      <c r="Y69" s="4"/>
    </row>
    <row r="70" ht="12.75" customHeight="1">
      <c r="A70" s="21" t="s">
        <v>77</v>
      </c>
      <c r="B70" s="2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3">
        <f t="shared" si="18"/>
        <v>0</v>
      </c>
      <c r="T70" s="24">
        <f t="shared" si="19"/>
        <v>0</v>
      </c>
      <c r="U70" s="4"/>
      <c r="V70" s="4"/>
      <c r="W70" s="4"/>
      <c r="X70" s="4"/>
      <c r="Y70" s="4"/>
    </row>
    <row r="71" ht="12.75" customHeight="1">
      <c r="A71" s="21" t="s">
        <v>78</v>
      </c>
      <c r="B71" s="26"/>
      <c r="C71" s="4">
        <v>700.0</v>
      </c>
      <c r="D71" s="4">
        <v>350.0</v>
      </c>
      <c r="E71" s="4">
        <v>400.0</v>
      </c>
      <c r="F71" s="4">
        <v>200.0</v>
      </c>
      <c r="G71" s="4">
        <v>1300.0</v>
      </c>
      <c r="H71" s="4"/>
      <c r="I71" s="4"/>
      <c r="J71" s="4">
        <v>300.0</v>
      </c>
      <c r="K71" s="4">
        <v>200.0</v>
      </c>
      <c r="L71" s="4"/>
      <c r="M71" s="4">
        <v>200.0</v>
      </c>
      <c r="N71" s="4"/>
      <c r="O71" s="4"/>
      <c r="P71" s="4"/>
      <c r="Q71" s="4"/>
      <c r="R71" s="4">
        <v>300.0</v>
      </c>
      <c r="S71" s="13">
        <f t="shared" si="18"/>
        <v>3650</v>
      </c>
      <c r="T71" s="24">
        <f t="shared" si="19"/>
        <v>0.02656535441</v>
      </c>
      <c r="U71" s="4"/>
      <c r="V71" s="4"/>
      <c r="W71" s="4"/>
      <c r="X71" s="4"/>
      <c r="Y71" s="4"/>
    </row>
    <row r="72" ht="15.0" customHeight="1">
      <c r="A72" s="21" t="s">
        <v>79</v>
      </c>
      <c r="B72" s="26"/>
      <c r="C72" s="4">
        <v>800.0</v>
      </c>
      <c r="D72" s="4">
        <v>80.0</v>
      </c>
      <c r="E72" s="4">
        <v>70.0</v>
      </c>
      <c r="F72" s="4">
        <v>650.0</v>
      </c>
      <c r="G72" s="4">
        <v>300.0</v>
      </c>
      <c r="H72" s="4"/>
      <c r="I72" s="4"/>
      <c r="J72" s="4"/>
      <c r="K72" s="4"/>
      <c r="L72" s="4"/>
      <c r="M72" s="4"/>
      <c r="N72" s="4">
        <v>350.0</v>
      </c>
      <c r="O72" s="4"/>
      <c r="P72" s="4"/>
      <c r="Q72" s="4"/>
      <c r="R72" s="4">
        <v>0.0</v>
      </c>
      <c r="S72" s="13">
        <f t="shared" si="18"/>
        <v>2250</v>
      </c>
      <c r="T72" s="24">
        <f t="shared" si="19"/>
        <v>0.0163759034</v>
      </c>
      <c r="U72" s="4"/>
      <c r="V72" s="4"/>
      <c r="W72" s="4"/>
      <c r="X72" s="4"/>
      <c r="Y72" s="4"/>
    </row>
    <row r="73" ht="15.0" customHeight="1">
      <c r="A73" s="4"/>
      <c r="B73" s="2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3"/>
      <c r="T73" s="24"/>
      <c r="U73" s="4"/>
      <c r="V73" s="4"/>
      <c r="W73" s="4"/>
      <c r="X73" s="4"/>
      <c r="Y73" s="4"/>
    </row>
    <row r="74" ht="12.75" customHeight="1">
      <c r="A74" s="4"/>
      <c r="B74" s="2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3">
        <f>SUM(C74:O74)</f>
        <v>0</v>
      </c>
      <c r="T74" s="24">
        <f>S74/$S$33</f>
        <v>0</v>
      </c>
      <c r="U74" s="4"/>
      <c r="V74" s="4"/>
      <c r="W74" s="4"/>
      <c r="X74" s="4"/>
      <c r="Y74" s="4"/>
    </row>
    <row r="75" ht="12.75" customHeight="1">
      <c r="A75" s="57" t="s">
        <v>80</v>
      </c>
      <c r="B75" s="58">
        <f>SUM(B41:B74)</f>
        <v>674.72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9"/>
      <c r="T75" s="60"/>
      <c r="U75" s="4"/>
      <c r="V75" s="4"/>
      <c r="W75" s="4"/>
      <c r="X75" s="4"/>
      <c r="Y75" s="4"/>
    </row>
    <row r="76" ht="12.75" customHeight="1">
      <c r="A76" s="61" t="s">
        <v>81</v>
      </c>
      <c r="B76" s="62"/>
      <c r="C76" s="63">
        <f t="shared" ref="C76:S76" si="20">SUM(C40:C74)</f>
        <v>16263.6</v>
      </c>
      <c r="D76" s="63">
        <f t="shared" si="20"/>
        <v>8802</v>
      </c>
      <c r="E76" s="63">
        <f t="shared" si="20"/>
        <v>9025</v>
      </c>
      <c r="F76" s="63">
        <f t="shared" si="20"/>
        <v>7180</v>
      </c>
      <c r="G76" s="63">
        <f t="shared" si="20"/>
        <v>30736.5</v>
      </c>
      <c r="H76" s="63">
        <f t="shared" si="20"/>
        <v>17269</v>
      </c>
      <c r="I76" s="63">
        <f t="shared" si="20"/>
        <v>7591</v>
      </c>
      <c r="J76" s="63">
        <f t="shared" si="20"/>
        <v>11184</v>
      </c>
      <c r="K76" s="63">
        <f t="shared" si="20"/>
        <v>6830</v>
      </c>
      <c r="L76" s="63">
        <f t="shared" si="20"/>
        <v>6417.3</v>
      </c>
      <c r="M76" s="63">
        <f t="shared" si="20"/>
        <v>5830</v>
      </c>
      <c r="N76" s="63">
        <f t="shared" si="20"/>
        <v>5680</v>
      </c>
      <c r="O76" s="63">
        <f t="shared" si="20"/>
        <v>5800</v>
      </c>
      <c r="P76" s="63">
        <f t="shared" si="20"/>
        <v>5280</v>
      </c>
      <c r="Q76" s="63">
        <f t="shared" si="20"/>
        <v>9044</v>
      </c>
      <c r="R76" s="63">
        <f t="shared" si="20"/>
        <v>12120</v>
      </c>
      <c r="S76" s="63">
        <f t="shared" si="20"/>
        <v>84775.1</v>
      </c>
      <c r="T76" s="64">
        <f>S76/$S$33</f>
        <v>0.6170083772</v>
      </c>
      <c r="U76" s="4"/>
      <c r="V76" s="4"/>
      <c r="W76" s="4"/>
      <c r="X76" s="4"/>
      <c r="Y76" s="4"/>
    </row>
    <row r="77" ht="12.75" customHeight="1">
      <c r="A77" s="6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4"/>
      <c r="V77" s="4"/>
      <c r="W77" s="4"/>
      <c r="X77" s="4"/>
      <c r="Y77" s="4"/>
    </row>
    <row r="78" ht="12.75" customHeight="1">
      <c r="A78" s="34" t="s">
        <v>82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7"/>
      <c r="T78" s="68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4"/>
      <c r="U79" s="4"/>
      <c r="V79" s="4"/>
      <c r="W79" s="4"/>
      <c r="X79" s="4"/>
      <c r="Y79" s="4"/>
    </row>
    <row r="80" ht="12.75" customHeight="1">
      <c r="A80" s="57" t="s">
        <v>83</v>
      </c>
      <c r="B80" s="13">
        <f t="shared" ref="B80:S80" si="21">B33</f>
        <v>3434</v>
      </c>
      <c r="C80" s="13">
        <f t="shared" si="21"/>
        <v>15847</v>
      </c>
      <c r="D80" s="13">
        <f t="shared" si="21"/>
        <v>12850</v>
      </c>
      <c r="E80" s="13">
        <f t="shared" si="21"/>
        <v>2800</v>
      </c>
      <c r="F80" s="13">
        <f t="shared" si="21"/>
        <v>27800</v>
      </c>
      <c r="G80" s="13">
        <f t="shared" si="21"/>
        <v>10900</v>
      </c>
      <c r="H80" s="13">
        <f t="shared" si="21"/>
        <v>22450</v>
      </c>
      <c r="I80" s="13">
        <f t="shared" si="21"/>
        <v>3700</v>
      </c>
      <c r="J80" s="13">
        <f t="shared" si="21"/>
        <v>9600</v>
      </c>
      <c r="K80" s="13">
        <f t="shared" si="21"/>
        <v>6600</v>
      </c>
      <c r="L80" s="13">
        <f t="shared" si="21"/>
        <v>6200</v>
      </c>
      <c r="M80" s="13">
        <f t="shared" si="21"/>
        <v>6800</v>
      </c>
      <c r="N80" s="13">
        <f t="shared" si="21"/>
        <v>5800</v>
      </c>
      <c r="O80" s="13">
        <f t="shared" si="21"/>
        <v>6050</v>
      </c>
      <c r="P80" s="13">
        <f t="shared" si="21"/>
        <v>7200</v>
      </c>
      <c r="Q80" s="13">
        <f t="shared" si="21"/>
        <v>10500</v>
      </c>
      <c r="R80" s="13">
        <f t="shared" si="21"/>
        <v>10450</v>
      </c>
      <c r="S80" s="13">
        <f t="shared" si="21"/>
        <v>137397</v>
      </c>
      <c r="T80" s="69">
        <f t="shared" ref="T80:T82" si="23">S80/$S$33</f>
        <v>1</v>
      </c>
      <c r="U80" s="4"/>
      <c r="V80" s="4"/>
      <c r="W80" s="4"/>
      <c r="X80" s="4"/>
      <c r="Y80" s="4"/>
    </row>
    <row r="81" ht="12.75" customHeight="1">
      <c r="A81" s="57" t="s">
        <v>84</v>
      </c>
      <c r="B81" s="13">
        <f>B75</f>
        <v>674.72</v>
      </c>
      <c r="C81" s="13">
        <f t="shared" ref="C81:S81" si="22">C76</f>
        <v>16263.6</v>
      </c>
      <c r="D81" s="13">
        <f t="shared" si="22"/>
        <v>8802</v>
      </c>
      <c r="E81" s="13">
        <f t="shared" si="22"/>
        <v>9025</v>
      </c>
      <c r="F81" s="13">
        <f t="shared" si="22"/>
        <v>7180</v>
      </c>
      <c r="G81" s="13">
        <f t="shared" si="22"/>
        <v>30736.5</v>
      </c>
      <c r="H81" s="13">
        <f t="shared" si="22"/>
        <v>17269</v>
      </c>
      <c r="I81" s="13">
        <f t="shared" si="22"/>
        <v>7591</v>
      </c>
      <c r="J81" s="13">
        <f t="shared" si="22"/>
        <v>11184</v>
      </c>
      <c r="K81" s="13">
        <f t="shared" si="22"/>
        <v>6830</v>
      </c>
      <c r="L81" s="13">
        <f t="shared" si="22"/>
        <v>6417.3</v>
      </c>
      <c r="M81" s="13">
        <f t="shared" si="22"/>
        <v>5830</v>
      </c>
      <c r="N81" s="13">
        <f t="shared" si="22"/>
        <v>5680</v>
      </c>
      <c r="O81" s="13">
        <f t="shared" si="22"/>
        <v>5800</v>
      </c>
      <c r="P81" s="13">
        <f t="shared" si="22"/>
        <v>5280</v>
      </c>
      <c r="Q81" s="13">
        <f t="shared" si="22"/>
        <v>9044</v>
      </c>
      <c r="R81" s="13">
        <f t="shared" si="22"/>
        <v>12120</v>
      </c>
      <c r="S81" s="13">
        <f t="shared" si="22"/>
        <v>84775.1</v>
      </c>
      <c r="T81" s="69">
        <f t="shared" si="23"/>
        <v>0.6170083772</v>
      </c>
      <c r="U81" s="4"/>
      <c r="V81" s="4"/>
      <c r="W81" s="4"/>
      <c r="X81" s="4"/>
      <c r="Y81" s="4"/>
    </row>
    <row r="82" ht="12.75" customHeight="1">
      <c r="A82" s="57" t="s">
        <v>85</v>
      </c>
      <c r="B82" s="70">
        <f t="shared" ref="B82:S82" si="24">B80-B81</f>
        <v>2759.28</v>
      </c>
      <c r="C82" s="70">
        <f t="shared" si="24"/>
        <v>-416.6</v>
      </c>
      <c r="D82" s="70">
        <f t="shared" si="24"/>
        <v>4048</v>
      </c>
      <c r="E82" s="70">
        <f t="shared" si="24"/>
        <v>-6225</v>
      </c>
      <c r="F82" s="70">
        <f t="shared" si="24"/>
        <v>20620</v>
      </c>
      <c r="G82" s="70">
        <f t="shared" si="24"/>
        <v>-19836.5</v>
      </c>
      <c r="H82" s="70">
        <f t="shared" si="24"/>
        <v>5181</v>
      </c>
      <c r="I82" s="70">
        <f t="shared" si="24"/>
        <v>-3891</v>
      </c>
      <c r="J82" s="70">
        <f t="shared" si="24"/>
        <v>-1584</v>
      </c>
      <c r="K82" s="70">
        <f t="shared" si="24"/>
        <v>-230</v>
      </c>
      <c r="L82" s="70">
        <f t="shared" si="24"/>
        <v>-217.3</v>
      </c>
      <c r="M82" s="70">
        <f t="shared" si="24"/>
        <v>970</v>
      </c>
      <c r="N82" s="70">
        <f t="shared" si="24"/>
        <v>120</v>
      </c>
      <c r="O82" s="70">
        <f t="shared" si="24"/>
        <v>250</v>
      </c>
      <c r="P82" s="70">
        <f t="shared" si="24"/>
        <v>1920</v>
      </c>
      <c r="Q82" s="70">
        <f t="shared" si="24"/>
        <v>1456</v>
      </c>
      <c r="R82" s="70">
        <f t="shared" si="24"/>
        <v>-1670</v>
      </c>
      <c r="S82" s="70">
        <f t="shared" si="24"/>
        <v>52621.9</v>
      </c>
      <c r="T82" s="71">
        <f t="shared" si="23"/>
        <v>0.3829916228</v>
      </c>
      <c r="U82" s="4"/>
      <c r="V82" s="4"/>
      <c r="W82" s="4"/>
      <c r="X82" s="4"/>
      <c r="Y82" s="4"/>
    </row>
    <row r="83" ht="12.75" customHeight="1">
      <c r="A83" s="57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1"/>
      <c r="U83" s="4"/>
      <c r="V83" s="4"/>
      <c r="W83" s="4"/>
      <c r="X83" s="4"/>
      <c r="Y83" s="4"/>
    </row>
    <row r="84" ht="12.75" customHeight="1">
      <c r="A84" s="57" t="s">
        <v>86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13">
        <f>SUM(C84:O84)</f>
        <v>0</v>
      </c>
      <c r="T84" s="71"/>
      <c r="U84" s="4"/>
      <c r="V84" s="4"/>
      <c r="W84" s="4"/>
      <c r="X84" s="4"/>
      <c r="Y84" s="4"/>
    </row>
    <row r="85" ht="12.75" customHeight="1">
      <c r="A85" s="2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4"/>
      <c r="U85" s="4"/>
      <c r="V85" s="4"/>
      <c r="W85" s="4"/>
      <c r="X85" s="4"/>
      <c r="Y85" s="4"/>
    </row>
    <row r="86" ht="12.75" customHeight="1">
      <c r="A86" s="57" t="s">
        <v>87</v>
      </c>
      <c r="B86" s="13"/>
      <c r="C86" s="13">
        <f t="shared" ref="C86:R86" si="25">B88</f>
        <v>2759.28</v>
      </c>
      <c r="D86" s="13">
        <f t="shared" si="25"/>
        <v>2342.68</v>
      </c>
      <c r="E86" s="13">
        <f t="shared" si="25"/>
        <v>6390.68</v>
      </c>
      <c r="F86" s="13">
        <f t="shared" si="25"/>
        <v>165.68</v>
      </c>
      <c r="G86" s="13">
        <f t="shared" si="25"/>
        <v>20785.68</v>
      </c>
      <c r="H86" s="13">
        <f t="shared" si="25"/>
        <v>949.18</v>
      </c>
      <c r="I86" s="13">
        <f t="shared" si="25"/>
        <v>6130.18</v>
      </c>
      <c r="J86" s="13">
        <f t="shared" si="25"/>
        <v>2239.18</v>
      </c>
      <c r="K86" s="13">
        <f t="shared" si="25"/>
        <v>655.18</v>
      </c>
      <c r="L86" s="13">
        <f t="shared" si="25"/>
        <v>425.18</v>
      </c>
      <c r="M86" s="13">
        <f t="shared" si="25"/>
        <v>207.88</v>
      </c>
      <c r="N86" s="13">
        <f t="shared" si="25"/>
        <v>1177.88</v>
      </c>
      <c r="O86" s="72">
        <f t="shared" si="25"/>
        <v>1297.88</v>
      </c>
      <c r="P86" s="72">
        <f t="shared" si="25"/>
        <v>1547.88</v>
      </c>
      <c r="Q86" s="72">
        <f t="shared" si="25"/>
        <v>3467.88</v>
      </c>
      <c r="R86" s="72">
        <f t="shared" si="25"/>
        <v>4923.88</v>
      </c>
      <c r="S86" s="13"/>
      <c r="T86" s="24"/>
      <c r="U86" s="4"/>
      <c r="V86" s="4"/>
      <c r="W86" s="4"/>
      <c r="X86" s="4"/>
      <c r="Y86" s="4"/>
    </row>
    <row r="87" ht="12.75" customHeight="1">
      <c r="A87" s="5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3"/>
      <c r="T87" s="24"/>
      <c r="U87" s="4"/>
      <c r="V87" s="4"/>
      <c r="W87" s="4"/>
      <c r="X87" s="4"/>
      <c r="Y87" s="4"/>
    </row>
    <row r="88" ht="12.75" customHeight="1">
      <c r="A88" s="73" t="s">
        <v>88</v>
      </c>
      <c r="B88" s="63">
        <f t="shared" ref="B88:R88" si="26">B82-B84+B86</f>
        <v>2759.28</v>
      </c>
      <c r="C88" s="63">
        <f t="shared" si="26"/>
        <v>2342.68</v>
      </c>
      <c r="D88" s="63">
        <f t="shared" si="26"/>
        <v>6390.68</v>
      </c>
      <c r="E88" s="63">
        <f t="shared" si="26"/>
        <v>165.68</v>
      </c>
      <c r="F88" s="63">
        <f t="shared" si="26"/>
        <v>20785.68</v>
      </c>
      <c r="G88" s="63">
        <f t="shared" si="26"/>
        <v>949.18</v>
      </c>
      <c r="H88" s="63">
        <f t="shared" si="26"/>
        <v>6130.18</v>
      </c>
      <c r="I88" s="63">
        <f t="shared" si="26"/>
        <v>2239.18</v>
      </c>
      <c r="J88" s="63">
        <f t="shared" si="26"/>
        <v>655.18</v>
      </c>
      <c r="K88" s="63">
        <f t="shared" si="26"/>
        <v>425.18</v>
      </c>
      <c r="L88" s="63">
        <f t="shared" si="26"/>
        <v>207.88</v>
      </c>
      <c r="M88" s="63">
        <f t="shared" si="26"/>
        <v>1177.88</v>
      </c>
      <c r="N88" s="63">
        <f t="shared" si="26"/>
        <v>1297.88</v>
      </c>
      <c r="O88" s="63">
        <f t="shared" si="26"/>
        <v>1547.88</v>
      </c>
      <c r="P88" s="63">
        <f t="shared" si="26"/>
        <v>3467.88</v>
      </c>
      <c r="Q88" s="63">
        <f t="shared" si="26"/>
        <v>4923.88</v>
      </c>
      <c r="R88" s="63">
        <f t="shared" si="26"/>
        <v>3253.88</v>
      </c>
      <c r="S88" s="63"/>
      <c r="T88" s="74"/>
      <c r="U88" s="4"/>
      <c r="V88" s="4"/>
      <c r="W88" s="4"/>
      <c r="X88" s="4"/>
      <c r="Y88" s="4"/>
    </row>
    <row r="89" ht="12.75" customHeight="1">
      <c r="A89" s="70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 gridLines="1"/>
  <pageMargins bottom="0.5" footer="0.0" header="0.0" left="0.5" right="0.5" top="0.75"/>
  <pageSetup orientation="landscape"/>
  <headerFooter>
    <oddHeader>&amp;CThis spreadsheet can be downloaded from the Community Facilities Fund section of Self-Help's web site at http:\\www.self-help.org</oddHeader>
  </headerFooter>
  <rowBreaks count="1" manualBreakCount="1">
    <brk id="33" man="1"/>
  </rowBrea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9" width="8.63"/>
    <col customWidth="1" min="10" max="10" width="14.38"/>
    <col customWidth="1" min="11" max="11" width="9.13"/>
    <col customWidth="1" min="12" max="12" width="13.5"/>
    <col customWidth="1" min="13" max="22" width="8.63"/>
  </cols>
  <sheetData>
    <row r="1" ht="12.75" customHeight="1">
      <c r="A1" s="75" t="s">
        <v>89</v>
      </c>
      <c r="B1" s="76" t="s">
        <v>13</v>
      </c>
      <c r="C1" s="76" t="s">
        <v>14</v>
      </c>
      <c r="D1" s="76" t="s">
        <v>90</v>
      </c>
      <c r="E1" s="76" t="s">
        <v>91</v>
      </c>
      <c r="F1" s="76" t="s">
        <v>92</v>
      </c>
      <c r="G1" s="76" t="s">
        <v>6</v>
      </c>
      <c r="H1" s="76" t="s">
        <v>93</v>
      </c>
      <c r="I1" s="76" t="s">
        <v>17</v>
      </c>
      <c r="J1" s="76" t="s">
        <v>94</v>
      </c>
      <c r="K1" s="76" t="s">
        <v>95</v>
      </c>
      <c r="L1" s="77" t="s">
        <v>96</v>
      </c>
    </row>
    <row r="2" ht="12.75" customHeight="1">
      <c r="A2" s="78" t="s">
        <v>97</v>
      </c>
      <c r="B2" s="79">
        <v>400.0</v>
      </c>
      <c r="C2" s="79">
        <v>400.0</v>
      </c>
      <c r="D2" s="79">
        <v>400.0</v>
      </c>
      <c r="E2" s="79">
        <v>400.0</v>
      </c>
      <c r="F2" s="79">
        <v>400.0</v>
      </c>
      <c r="G2" s="79">
        <v>400.0</v>
      </c>
      <c r="H2" s="79">
        <v>400.0</v>
      </c>
      <c r="I2" s="79">
        <v>400.0</v>
      </c>
      <c r="J2" s="79">
        <f t="shared" ref="J2:J6" si="1">SUM(B2:I2)</f>
        <v>3200</v>
      </c>
      <c r="K2" s="79">
        <f t="shared" ref="K2:K6" si="2">(L2*COUNTIF(B2:I2,"&lt;&gt;A"))-SUM(B2:I2)</f>
        <v>0</v>
      </c>
      <c r="L2" s="80">
        <v>400.0</v>
      </c>
    </row>
    <row r="3" ht="12.75" customHeight="1">
      <c r="A3" s="81" t="s">
        <v>98</v>
      </c>
      <c r="B3" s="82">
        <v>400.0</v>
      </c>
      <c r="C3" s="82">
        <v>400.0</v>
      </c>
      <c r="D3" s="82">
        <v>400.0</v>
      </c>
      <c r="E3" s="82">
        <v>400.0</v>
      </c>
      <c r="F3" s="82">
        <v>400.0</v>
      </c>
      <c r="G3" s="82">
        <v>400.0</v>
      </c>
      <c r="H3" s="82">
        <v>400.0</v>
      </c>
      <c r="I3" s="82">
        <v>400.0</v>
      </c>
      <c r="J3" s="82">
        <f t="shared" si="1"/>
        <v>3200</v>
      </c>
      <c r="K3" s="82">
        <f t="shared" si="2"/>
        <v>0</v>
      </c>
      <c r="L3" s="83">
        <v>400.0</v>
      </c>
    </row>
    <row r="4" ht="12.75" customHeight="1">
      <c r="A4" s="81" t="s">
        <v>99</v>
      </c>
      <c r="B4" s="82">
        <v>400.0</v>
      </c>
      <c r="C4" s="82">
        <v>400.0</v>
      </c>
      <c r="D4" s="82">
        <v>400.0</v>
      </c>
      <c r="E4" s="82">
        <v>400.0</v>
      </c>
      <c r="F4" s="82">
        <v>400.0</v>
      </c>
      <c r="G4" s="82">
        <v>400.0</v>
      </c>
      <c r="H4" s="82">
        <v>400.0</v>
      </c>
      <c r="I4" s="84" t="s">
        <v>100</v>
      </c>
      <c r="J4" s="82">
        <f t="shared" si="1"/>
        <v>2800</v>
      </c>
      <c r="K4" s="82">
        <f t="shared" si="2"/>
        <v>0</v>
      </c>
      <c r="L4" s="83">
        <v>400.0</v>
      </c>
    </row>
    <row r="5" ht="12.75" customHeight="1">
      <c r="A5" s="81" t="s">
        <v>101</v>
      </c>
      <c r="B5" s="82">
        <v>400.0</v>
      </c>
      <c r="C5" s="82">
        <v>400.0</v>
      </c>
      <c r="D5" s="82">
        <v>400.0</v>
      </c>
      <c r="E5" s="82">
        <v>400.0</v>
      </c>
      <c r="F5" s="82">
        <v>400.0</v>
      </c>
      <c r="G5" s="82">
        <v>400.0</v>
      </c>
      <c r="H5" s="82">
        <v>400.0</v>
      </c>
      <c r="I5" s="82">
        <v>400.0</v>
      </c>
      <c r="J5" s="82">
        <f t="shared" si="1"/>
        <v>3200</v>
      </c>
      <c r="K5" s="82">
        <f t="shared" si="2"/>
        <v>0</v>
      </c>
      <c r="L5" s="83">
        <v>400.0</v>
      </c>
    </row>
    <row r="6" ht="12.75" customHeight="1">
      <c r="A6" s="85" t="s">
        <v>102</v>
      </c>
      <c r="B6" s="82">
        <v>400.0</v>
      </c>
      <c r="C6" s="82">
        <v>400.0</v>
      </c>
      <c r="D6" s="82">
        <v>400.0</v>
      </c>
      <c r="E6" s="82">
        <v>400.0</v>
      </c>
      <c r="F6" s="82">
        <v>400.0</v>
      </c>
      <c r="G6" s="82">
        <v>400.0</v>
      </c>
      <c r="H6" s="82">
        <v>400.0</v>
      </c>
      <c r="I6" s="82">
        <v>400.0</v>
      </c>
      <c r="J6" s="82">
        <f t="shared" si="1"/>
        <v>3200</v>
      </c>
      <c r="K6" s="82">
        <f t="shared" si="2"/>
        <v>0</v>
      </c>
      <c r="L6" s="83">
        <v>400.0</v>
      </c>
    </row>
    <row r="7" ht="12.75" customHeight="1">
      <c r="A7" s="85" t="s">
        <v>103</v>
      </c>
      <c r="B7" s="82"/>
      <c r="C7" s="82"/>
      <c r="D7" s="82"/>
      <c r="E7" s="82"/>
      <c r="F7" s="82"/>
      <c r="G7" s="82"/>
      <c r="H7" s="82">
        <v>400.0</v>
      </c>
      <c r="I7" s="82">
        <v>400.0</v>
      </c>
      <c r="J7" s="82">
        <f>SUM(H7:I7)</f>
        <v>800</v>
      </c>
      <c r="K7" s="82">
        <f>(L7*COUNTIF(H7:I7,"&lt;&gt;A"))-SUM(H7:I7)</f>
        <v>0</v>
      </c>
      <c r="L7" s="83">
        <v>400.0</v>
      </c>
    </row>
    <row r="8" ht="12.75" customHeight="1">
      <c r="A8" s="81" t="s">
        <v>104</v>
      </c>
      <c r="B8" s="82"/>
      <c r="C8" s="82"/>
      <c r="D8" s="82"/>
      <c r="E8" s="82"/>
      <c r="F8" s="82"/>
      <c r="G8" s="82">
        <v>400.0</v>
      </c>
      <c r="H8" s="82">
        <v>400.0</v>
      </c>
      <c r="I8" s="82">
        <v>400.0</v>
      </c>
      <c r="J8" s="82">
        <f>SUM(G8:I8)</f>
        <v>1200</v>
      </c>
      <c r="K8" s="82">
        <f>(L8*COUNTIF(G8:I8,"&lt;&gt;A"))-SUM(G8:I8)</f>
        <v>0</v>
      </c>
      <c r="L8" s="83">
        <v>400.0</v>
      </c>
    </row>
    <row r="9" ht="12.75" customHeight="1">
      <c r="A9" s="81" t="s">
        <v>105</v>
      </c>
      <c r="B9" s="82">
        <v>400.0</v>
      </c>
      <c r="C9" s="82">
        <v>400.0</v>
      </c>
      <c r="D9" s="82">
        <v>400.0</v>
      </c>
      <c r="E9" s="82">
        <v>400.0</v>
      </c>
      <c r="F9" s="82">
        <v>400.0</v>
      </c>
      <c r="G9" s="82">
        <v>400.0</v>
      </c>
      <c r="H9" s="82">
        <v>400.0</v>
      </c>
      <c r="I9" s="82">
        <v>400.0</v>
      </c>
      <c r="J9" s="82">
        <f t="shared" ref="J9:J20" si="3">SUM(B9:I9)</f>
        <v>3200</v>
      </c>
      <c r="K9" s="82">
        <f t="shared" ref="K9:K18" si="4">(L9*COUNTIF(B9:I9,"&lt;&gt;A"))-SUM(B9:I9)</f>
        <v>0</v>
      </c>
      <c r="L9" s="83">
        <v>400.0</v>
      </c>
    </row>
    <row r="10" ht="12.75" customHeight="1">
      <c r="A10" s="81" t="s">
        <v>106</v>
      </c>
      <c r="B10" s="82">
        <v>400.0</v>
      </c>
      <c r="C10" s="82">
        <v>400.0</v>
      </c>
      <c r="D10" s="82">
        <v>400.0</v>
      </c>
      <c r="E10" s="82">
        <v>400.0</v>
      </c>
      <c r="F10" s="82">
        <v>400.0</v>
      </c>
      <c r="G10" s="82">
        <v>400.0</v>
      </c>
      <c r="H10" s="82">
        <v>400.0</v>
      </c>
      <c r="I10" s="82">
        <v>400.0</v>
      </c>
      <c r="J10" s="82">
        <f t="shared" si="3"/>
        <v>3200</v>
      </c>
      <c r="K10" s="82">
        <f t="shared" si="4"/>
        <v>0</v>
      </c>
      <c r="L10" s="83">
        <v>400.0</v>
      </c>
    </row>
    <row r="11" ht="12.75" customHeight="1">
      <c r="A11" s="85" t="s">
        <v>107</v>
      </c>
      <c r="B11" s="82">
        <v>300.0</v>
      </c>
      <c r="C11" s="82">
        <v>300.0</v>
      </c>
      <c r="D11" s="82">
        <v>300.0</v>
      </c>
      <c r="E11" s="82">
        <v>300.0</v>
      </c>
      <c r="F11" s="82">
        <v>300.0</v>
      </c>
      <c r="G11" s="82">
        <v>300.0</v>
      </c>
      <c r="H11" s="82">
        <v>300.0</v>
      </c>
      <c r="I11" s="82">
        <v>300.0</v>
      </c>
      <c r="J11" s="82">
        <f t="shared" si="3"/>
        <v>2400</v>
      </c>
      <c r="K11" s="82">
        <f t="shared" si="4"/>
        <v>0</v>
      </c>
      <c r="L11" s="83">
        <v>300.0</v>
      </c>
    </row>
    <row r="12" ht="12.75" customHeight="1">
      <c r="A12" s="85" t="s">
        <v>108</v>
      </c>
      <c r="B12" s="82">
        <v>300.0</v>
      </c>
      <c r="C12" s="82">
        <v>300.0</v>
      </c>
      <c r="D12" s="82">
        <v>300.0</v>
      </c>
      <c r="E12" s="82">
        <v>300.0</v>
      </c>
      <c r="F12" s="82">
        <v>300.0</v>
      </c>
      <c r="G12" s="82">
        <v>300.0</v>
      </c>
      <c r="H12" s="82">
        <v>300.0</v>
      </c>
      <c r="I12" s="82">
        <v>300.0</v>
      </c>
      <c r="J12" s="82">
        <f t="shared" si="3"/>
        <v>2400</v>
      </c>
      <c r="K12" s="82">
        <f t="shared" si="4"/>
        <v>0</v>
      </c>
      <c r="L12" s="83">
        <v>300.0</v>
      </c>
    </row>
    <row r="13" ht="12.75" customHeight="1">
      <c r="A13" s="81" t="s">
        <v>109</v>
      </c>
      <c r="B13" s="82">
        <v>400.0</v>
      </c>
      <c r="C13" s="82">
        <v>400.0</v>
      </c>
      <c r="D13" s="82">
        <v>400.0</v>
      </c>
      <c r="E13" s="82">
        <v>400.0</v>
      </c>
      <c r="F13" s="82">
        <v>400.0</v>
      </c>
      <c r="G13" s="82">
        <v>400.0</v>
      </c>
      <c r="H13" s="82">
        <v>400.0</v>
      </c>
      <c r="I13" s="82">
        <v>400.0</v>
      </c>
      <c r="J13" s="82">
        <f t="shared" si="3"/>
        <v>3200</v>
      </c>
      <c r="K13" s="82">
        <f t="shared" si="4"/>
        <v>0</v>
      </c>
      <c r="L13" s="83">
        <v>400.0</v>
      </c>
    </row>
    <row r="14" ht="12.75" customHeight="1">
      <c r="A14" s="81" t="s">
        <v>110</v>
      </c>
      <c r="B14" s="82">
        <v>400.0</v>
      </c>
      <c r="C14" s="82">
        <v>400.0</v>
      </c>
      <c r="D14" s="82">
        <v>400.0</v>
      </c>
      <c r="E14" s="82">
        <v>400.0</v>
      </c>
      <c r="F14" s="82">
        <v>400.0</v>
      </c>
      <c r="G14" s="82">
        <v>400.0</v>
      </c>
      <c r="H14" s="82">
        <v>400.0</v>
      </c>
      <c r="I14" s="84">
        <v>350.0</v>
      </c>
      <c r="J14" s="82">
        <f t="shared" si="3"/>
        <v>3150</v>
      </c>
      <c r="K14" s="82">
        <f t="shared" si="4"/>
        <v>50</v>
      </c>
      <c r="L14" s="83">
        <v>400.0</v>
      </c>
    </row>
    <row r="15" ht="12.75" customHeight="1">
      <c r="A15" s="81" t="s">
        <v>111</v>
      </c>
      <c r="B15" s="82">
        <v>400.0</v>
      </c>
      <c r="C15" s="82">
        <v>400.0</v>
      </c>
      <c r="D15" s="82">
        <v>400.0</v>
      </c>
      <c r="E15" s="82">
        <v>400.0</v>
      </c>
      <c r="F15" s="82">
        <v>400.0</v>
      </c>
      <c r="G15" s="82">
        <v>400.0</v>
      </c>
      <c r="H15" s="82">
        <v>400.0</v>
      </c>
      <c r="I15" s="82">
        <v>400.0</v>
      </c>
      <c r="J15" s="82">
        <f t="shared" si="3"/>
        <v>3200</v>
      </c>
      <c r="K15" s="82">
        <f t="shared" si="4"/>
        <v>0</v>
      </c>
      <c r="L15" s="83">
        <v>400.0</v>
      </c>
    </row>
    <row r="16" ht="12.75" customHeight="1">
      <c r="A16" s="81" t="s">
        <v>112</v>
      </c>
      <c r="B16" s="82">
        <v>400.0</v>
      </c>
      <c r="C16" s="82">
        <v>400.0</v>
      </c>
      <c r="D16" s="82">
        <v>400.0</v>
      </c>
      <c r="E16" s="82">
        <v>400.0</v>
      </c>
      <c r="F16" s="84">
        <v>250.0</v>
      </c>
      <c r="G16" s="84">
        <v>0.0</v>
      </c>
      <c r="H16" s="84">
        <v>0.0</v>
      </c>
      <c r="I16" s="84" t="s">
        <v>100</v>
      </c>
      <c r="J16" s="82">
        <f t="shared" si="3"/>
        <v>1850</v>
      </c>
      <c r="K16" s="82">
        <f t="shared" si="4"/>
        <v>950</v>
      </c>
      <c r="L16" s="83">
        <v>400.0</v>
      </c>
    </row>
    <row r="17" ht="12.75" customHeight="1">
      <c r="A17" s="81" t="s">
        <v>113</v>
      </c>
      <c r="B17" s="82">
        <v>400.0</v>
      </c>
      <c r="C17" s="82">
        <v>400.0</v>
      </c>
      <c r="D17" s="82">
        <v>400.0</v>
      </c>
      <c r="E17" s="82">
        <v>400.0</v>
      </c>
      <c r="F17" s="82">
        <v>400.0</v>
      </c>
      <c r="G17" s="82">
        <v>400.0</v>
      </c>
      <c r="H17" s="82">
        <v>400.0</v>
      </c>
      <c r="I17" s="82">
        <v>400.0</v>
      </c>
      <c r="J17" s="82">
        <f t="shared" si="3"/>
        <v>3200</v>
      </c>
      <c r="K17" s="82">
        <f t="shared" si="4"/>
        <v>0</v>
      </c>
      <c r="L17" s="83">
        <v>400.0</v>
      </c>
    </row>
    <row r="18" ht="12.75" customHeight="1">
      <c r="A18" s="81" t="s">
        <v>114</v>
      </c>
      <c r="B18" s="82" t="s">
        <v>100</v>
      </c>
      <c r="C18" s="82">
        <v>400.0</v>
      </c>
      <c r="D18" s="82">
        <v>400.0</v>
      </c>
      <c r="E18" s="82">
        <v>400.0</v>
      </c>
      <c r="F18" s="82">
        <v>400.0</v>
      </c>
      <c r="G18" s="82">
        <v>400.0</v>
      </c>
      <c r="H18" s="82">
        <v>400.0</v>
      </c>
      <c r="I18" s="82">
        <v>400.0</v>
      </c>
      <c r="J18" s="82">
        <f t="shared" si="3"/>
        <v>2800</v>
      </c>
      <c r="K18" s="82">
        <f t="shared" si="4"/>
        <v>0</v>
      </c>
      <c r="L18" s="83">
        <v>400.0</v>
      </c>
    </row>
    <row r="19" ht="12.75" customHeight="1">
      <c r="A19" s="81" t="s">
        <v>115</v>
      </c>
      <c r="B19" s="82" t="s">
        <v>100</v>
      </c>
      <c r="C19" s="82">
        <v>400.0</v>
      </c>
      <c r="D19" s="82">
        <v>400.0</v>
      </c>
      <c r="E19" s="82" t="s">
        <v>100</v>
      </c>
      <c r="F19" s="82" t="s">
        <v>100</v>
      </c>
      <c r="G19" s="82">
        <v>400.0</v>
      </c>
      <c r="H19" s="82">
        <v>400.0</v>
      </c>
      <c r="I19" s="84">
        <v>200.0</v>
      </c>
      <c r="J19" s="82">
        <f t="shared" si="3"/>
        <v>1800</v>
      </c>
      <c r="K19" s="84">
        <v>0.0</v>
      </c>
      <c r="L19" s="83">
        <v>400.0</v>
      </c>
    </row>
    <row r="20" ht="12.75" customHeight="1">
      <c r="A20" s="81" t="s">
        <v>116</v>
      </c>
      <c r="B20" s="82" t="s">
        <v>100</v>
      </c>
      <c r="C20" s="82" t="s">
        <v>100</v>
      </c>
      <c r="D20" s="82" t="s">
        <v>100</v>
      </c>
      <c r="E20" s="82" t="s">
        <v>100</v>
      </c>
      <c r="F20" s="84">
        <v>400.0</v>
      </c>
      <c r="G20" s="84">
        <v>400.0</v>
      </c>
      <c r="H20" s="84">
        <v>400.0</v>
      </c>
      <c r="I20" s="84" t="s">
        <v>100</v>
      </c>
      <c r="J20" s="82">
        <f t="shared" si="3"/>
        <v>1200</v>
      </c>
      <c r="K20" s="82">
        <f>(L20*COUNTIF(B20:I20,"&lt;&gt;A"))-SUM(B20:I20)</f>
        <v>0</v>
      </c>
      <c r="L20" s="83">
        <v>400.0</v>
      </c>
    </row>
    <row r="21" ht="12.75" customHeight="1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8"/>
    </row>
    <row r="22" ht="12.75" customHeight="1">
      <c r="A22" s="89" t="s">
        <v>117</v>
      </c>
      <c r="B22" s="90">
        <f t="shared" ref="B22:L22" si="5">SUM(B2:B20)</f>
        <v>5400</v>
      </c>
      <c r="C22" s="90">
        <f t="shared" si="5"/>
        <v>6200</v>
      </c>
      <c r="D22" s="90">
        <f t="shared" si="5"/>
        <v>6200</v>
      </c>
      <c r="E22" s="90">
        <f t="shared" si="5"/>
        <v>5800</v>
      </c>
      <c r="F22" s="90">
        <f t="shared" si="5"/>
        <v>6050</v>
      </c>
      <c r="G22" s="90">
        <f t="shared" si="5"/>
        <v>6600</v>
      </c>
      <c r="H22" s="90">
        <f t="shared" si="5"/>
        <v>7000</v>
      </c>
      <c r="I22" s="90">
        <f t="shared" si="5"/>
        <v>5950</v>
      </c>
      <c r="J22" s="90">
        <f t="shared" si="5"/>
        <v>49200</v>
      </c>
      <c r="K22" s="90">
        <f t="shared" si="5"/>
        <v>1000</v>
      </c>
      <c r="L22" s="90">
        <f t="shared" si="5"/>
        <v>7400</v>
      </c>
      <c r="M22" s="91"/>
      <c r="N22" s="91"/>
      <c r="O22" s="91"/>
      <c r="P22" s="91"/>
      <c r="Q22" s="91"/>
      <c r="R22" s="91"/>
      <c r="S22" s="91"/>
      <c r="T22" s="91"/>
      <c r="U22" s="91"/>
      <c r="V22" s="91"/>
    </row>
    <row r="23" ht="12.75" customHeight="1">
      <c r="A23" s="92" t="s">
        <v>118</v>
      </c>
      <c r="B23" s="92">
        <f t="shared" ref="B23:H23" si="6">COUNT(B2:B20)</f>
        <v>14</v>
      </c>
      <c r="C23" s="92">
        <f t="shared" si="6"/>
        <v>16</v>
      </c>
      <c r="D23" s="92">
        <f t="shared" si="6"/>
        <v>16</v>
      </c>
      <c r="E23" s="92">
        <f t="shared" si="6"/>
        <v>15</v>
      </c>
      <c r="F23" s="92">
        <f t="shared" si="6"/>
        <v>16</v>
      </c>
      <c r="G23" s="92">
        <f t="shared" si="6"/>
        <v>18</v>
      </c>
      <c r="H23" s="92">
        <f t="shared" si="6"/>
        <v>19</v>
      </c>
      <c r="I23" s="93">
        <v>19.0</v>
      </c>
      <c r="J23" s="94"/>
      <c r="K23" s="94"/>
      <c r="L23" s="9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">
    <cfRule type="expression" dxfId="0" priority="1">
      <formula>$B$2:$I$20="A"</formula>
    </cfRule>
  </conditionalFormatting>
  <conditionalFormatting sqref="B2">
    <cfRule type="expression" dxfId="1" priority="2">
      <formula>B2:I101="A"</formula>
    </cfRule>
  </conditionalFormatting>
  <conditionalFormatting sqref="K1:K21 K23:K1000">
    <cfRule type="expression" dxfId="1" priority="3">
      <formula>B2="A"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11.13"/>
    <col customWidth="1" min="3" max="16" width="8.63"/>
    <col customWidth="1" min="17" max="17" width="13.63"/>
    <col customWidth="1" min="18" max="20" width="8.63"/>
    <col customWidth="1" min="21" max="21" width="14.38"/>
    <col customWidth="1" min="22" max="22" width="9.13"/>
    <col customWidth="1" min="23" max="23" width="13.5"/>
    <col customWidth="1" min="24" max="33" width="8.63"/>
  </cols>
  <sheetData>
    <row r="1" ht="12.75" customHeight="1">
      <c r="A1" s="75" t="s">
        <v>89</v>
      </c>
      <c r="B1" s="76" t="s">
        <v>119</v>
      </c>
      <c r="C1" s="76" t="s">
        <v>10</v>
      </c>
      <c r="D1" s="76" t="s">
        <v>11</v>
      </c>
      <c r="E1" s="95" t="s">
        <v>12</v>
      </c>
      <c r="F1" s="95" t="s">
        <v>120</v>
      </c>
      <c r="G1" s="95" t="s">
        <v>14</v>
      </c>
      <c r="H1" s="95" t="s">
        <v>121</v>
      </c>
      <c r="I1" s="95" t="s">
        <v>91</v>
      </c>
      <c r="J1" s="95" t="s">
        <v>92</v>
      </c>
      <c r="K1" s="95" t="s">
        <v>122</v>
      </c>
      <c r="L1" s="95" t="s">
        <v>93</v>
      </c>
      <c r="M1" s="76" t="s">
        <v>94</v>
      </c>
      <c r="N1" s="76" t="s">
        <v>95</v>
      </c>
      <c r="O1" s="77" t="s">
        <v>96</v>
      </c>
    </row>
    <row r="2" ht="12.75" customHeight="1">
      <c r="A2" s="78" t="s">
        <v>97</v>
      </c>
      <c r="B2" s="96">
        <v>400.0</v>
      </c>
      <c r="C2" s="96">
        <v>400.0</v>
      </c>
      <c r="D2" s="96">
        <v>0.0</v>
      </c>
      <c r="E2" s="96">
        <v>400.0</v>
      </c>
      <c r="F2" s="96">
        <v>400.0</v>
      </c>
      <c r="G2" s="96">
        <v>400.0</v>
      </c>
      <c r="H2" s="96" t="s">
        <v>100</v>
      </c>
      <c r="I2" s="96" t="s">
        <v>100</v>
      </c>
      <c r="J2" s="96" t="s">
        <v>100</v>
      </c>
      <c r="K2" s="96" t="s">
        <v>100</v>
      </c>
      <c r="L2" s="96" t="s">
        <v>100</v>
      </c>
      <c r="M2" s="79">
        <f t="shared" ref="M2:M3" si="1">SUM(B2:L2)</f>
        <v>2000</v>
      </c>
      <c r="N2" s="79">
        <f t="shared" ref="N2:N18" si="2">(O2*COUNTIF(B2:L2,"&lt;&gt;A"))-SUM(B2:L2)</f>
        <v>400</v>
      </c>
      <c r="O2" s="80">
        <v>400.0</v>
      </c>
    </row>
    <row r="3" ht="12.75" customHeight="1">
      <c r="A3" s="81" t="s">
        <v>98</v>
      </c>
      <c r="B3" s="84">
        <v>400.0</v>
      </c>
      <c r="C3" s="96">
        <v>400.0</v>
      </c>
      <c r="D3" s="96">
        <v>400.0</v>
      </c>
      <c r="E3" s="96">
        <v>400.0</v>
      </c>
      <c r="F3" s="96">
        <v>400.0</v>
      </c>
      <c r="G3" s="96">
        <v>400.0</v>
      </c>
      <c r="H3" s="96" t="s">
        <v>100</v>
      </c>
      <c r="I3" s="96" t="s">
        <v>100</v>
      </c>
      <c r="J3" s="96" t="s">
        <v>100</v>
      </c>
      <c r="K3" s="96" t="s">
        <v>100</v>
      </c>
      <c r="L3" s="96" t="s">
        <v>100</v>
      </c>
      <c r="M3" s="82">
        <f t="shared" si="1"/>
        <v>2400</v>
      </c>
      <c r="N3" s="79">
        <f t="shared" si="2"/>
        <v>0</v>
      </c>
      <c r="O3" s="83">
        <v>400.0</v>
      </c>
    </row>
    <row r="4" ht="12.75" customHeight="1">
      <c r="A4" s="81" t="s">
        <v>101</v>
      </c>
      <c r="B4" s="84">
        <v>400.0</v>
      </c>
      <c r="C4" s="96">
        <v>400.0</v>
      </c>
      <c r="D4" s="96">
        <v>400.0</v>
      </c>
      <c r="E4" s="96">
        <v>400.0</v>
      </c>
      <c r="F4" s="96">
        <v>400.0</v>
      </c>
      <c r="G4" s="96">
        <v>400.0</v>
      </c>
      <c r="H4" s="96" t="s">
        <v>100</v>
      </c>
      <c r="I4" s="96" t="s">
        <v>100</v>
      </c>
      <c r="J4" s="96" t="s">
        <v>100</v>
      </c>
      <c r="K4" s="96" t="s">
        <v>100</v>
      </c>
      <c r="L4" s="96" t="s">
        <v>100</v>
      </c>
      <c r="M4" s="79">
        <f>(N4*COUNTIF(B4:K4,"&lt;&gt;A"))-SUM(B4:K4)</f>
        <v>-2400</v>
      </c>
      <c r="N4" s="79">
        <f t="shared" si="2"/>
        <v>0</v>
      </c>
      <c r="O4" s="83">
        <v>400.0</v>
      </c>
    </row>
    <row r="5" ht="12.75" customHeight="1">
      <c r="A5" s="85" t="s">
        <v>102</v>
      </c>
      <c r="B5" s="84">
        <v>400.0</v>
      </c>
      <c r="C5" s="96">
        <v>400.0</v>
      </c>
      <c r="D5" s="96">
        <v>400.0</v>
      </c>
      <c r="E5" s="96">
        <v>400.0</v>
      </c>
      <c r="F5" s="96">
        <v>400.0</v>
      </c>
      <c r="G5" s="96">
        <v>400.0</v>
      </c>
      <c r="H5" s="96" t="s">
        <v>100</v>
      </c>
      <c r="I5" s="96" t="s">
        <v>100</v>
      </c>
      <c r="J5" s="96" t="s">
        <v>100</v>
      </c>
      <c r="K5" s="96" t="s">
        <v>100</v>
      </c>
      <c r="L5" s="96" t="s">
        <v>100</v>
      </c>
      <c r="M5" s="82">
        <f t="shared" ref="M5:M21" si="3">SUM(B5:L5)</f>
        <v>2400</v>
      </c>
      <c r="N5" s="79">
        <f t="shared" si="2"/>
        <v>0</v>
      </c>
      <c r="O5" s="83">
        <v>400.0</v>
      </c>
    </row>
    <row r="6" ht="12.75" customHeight="1">
      <c r="A6" s="85" t="s">
        <v>103</v>
      </c>
      <c r="B6" s="84">
        <v>400.0</v>
      </c>
      <c r="C6" s="96">
        <v>400.0</v>
      </c>
      <c r="D6" s="96">
        <v>400.0</v>
      </c>
      <c r="E6" s="96">
        <v>400.0</v>
      </c>
      <c r="F6" s="96">
        <v>400.0</v>
      </c>
      <c r="G6" s="96">
        <v>400.0</v>
      </c>
      <c r="H6" s="96" t="s">
        <v>100</v>
      </c>
      <c r="I6" s="96" t="s">
        <v>100</v>
      </c>
      <c r="J6" s="96" t="s">
        <v>100</v>
      </c>
      <c r="K6" s="96" t="s">
        <v>100</v>
      </c>
      <c r="L6" s="96" t="s">
        <v>100</v>
      </c>
      <c r="M6" s="82">
        <f t="shared" si="3"/>
        <v>2400</v>
      </c>
      <c r="N6" s="79">
        <f t="shared" si="2"/>
        <v>0</v>
      </c>
      <c r="O6" s="83">
        <v>400.0</v>
      </c>
    </row>
    <row r="7" ht="12.75" customHeight="1">
      <c r="A7" s="81" t="s">
        <v>105</v>
      </c>
      <c r="B7" s="84">
        <v>400.0</v>
      </c>
      <c r="C7" s="96">
        <v>400.0</v>
      </c>
      <c r="D7" s="96">
        <v>400.0</v>
      </c>
      <c r="E7" s="96">
        <v>0.0</v>
      </c>
      <c r="F7" s="96">
        <v>400.0</v>
      </c>
      <c r="G7" s="96">
        <v>400.0</v>
      </c>
      <c r="H7" s="96" t="s">
        <v>100</v>
      </c>
      <c r="I7" s="96" t="s">
        <v>100</v>
      </c>
      <c r="J7" s="96" t="s">
        <v>100</v>
      </c>
      <c r="K7" s="96" t="s">
        <v>100</v>
      </c>
      <c r="L7" s="96" t="s">
        <v>100</v>
      </c>
      <c r="M7" s="82">
        <f t="shared" si="3"/>
        <v>2000</v>
      </c>
      <c r="N7" s="79">
        <f t="shared" si="2"/>
        <v>400</v>
      </c>
      <c r="O7" s="83">
        <v>400.0</v>
      </c>
    </row>
    <row r="8" ht="12.75" customHeight="1">
      <c r="A8" s="81" t="s">
        <v>106</v>
      </c>
      <c r="B8" s="84">
        <v>400.0</v>
      </c>
      <c r="C8" s="96">
        <v>400.0</v>
      </c>
      <c r="D8" s="96">
        <v>400.0</v>
      </c>
      <c r="E8" s="96">
        <v>400.0</v>
      </c>
      <c r="F8" s="96">
        <v>400.0</v>
      </c>
      <c r="G8" s="96">
        <v>400.0</v>
      </c>
      <c r="H8" s="96" t="s">
        <v>100</v>
      </c>
      <c r="I8" s="96" t="s">
        <v>100</v>
      </c>
      <c r="J8" s="96" t="s">
        <v>100</v>
      </c>
      <c r="K8" s="96" t="s">
        <v>100</v>
      </c>
      <c r="L8" s="96" t="s">
        <v>100</v>
      </c>
      <c r="M8" s="82">
        <f t="shared" si="3"/>
        <v>2400</v>
      </c>
      <c r="N8" s="79">
        <f t="shared" si="2"/>
        <v>0</v>
      </c>
      <c r="O8" s="83">
        <v>400.0</v>
      </c>
    </row>
    <row r="9" ht="12.75" customHeight="1">
      <c r="A9" s="97" t="s">
        <v>107</v>
      </c>
      <c r="B9" s="98">
        <v>300.0</v>
      </c>
      <c r="C9" s="99">
        <v>300.0</v>
      </c>
      <c r="D9" s="99">
        <v>300.0</v>
      </c>
      <c r="E9" s="99">
        <v>300.0</v>
      </c>
      <c r="F9" s="99">
        <v>300.0</v>
      </c>
      <c r="G9" s="99">
        <v>300.0</v>
      </c>
      <c r="H9" s="99" t="s">
        <v>100</v>
      </c>
      <c r="I9" s="99" t="s">
        <v>100</v>
      </c>
      <c r="J9" s="99" t="s">
        <v>100</v>
      </c>
      <c r="K9" s="99" t="s">
        <v>100</v>
      </c>
      <c r="L9" s="99" t="s">
        <v>100</v>
      </c>
      <c r="M9" s="100">
        <f t="shared" si="3"/>
        <v>1800</v>
      </c>
      <c r="N9" s="101">
        <f t="shared" si="2"/>
        <v>0</v>
      </c>
      <c r="O9" s="102">
        <v>300.0</v>
      </c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</row>
    <row r="10" ht="12.75" customHeight="1">
      <c r="A10" s="97" t="s">
        <v>108</v>
      </c>
      <c r="B10" s="104">
        <v>300.0</v>
      </c>
      <c r="C10" s="105">
        <v>300.0</v>
      </c>
      <c r="D10" s="105">
        <v>300.0</v>
      </c>
      <c r="E10" s="105">
        <v>300.0</v>
      </c>
      <c r="F10" s="105">
        <v>300.0</v>
      </c>
      <c r="G10" s="105">
        <v>300.0</v>
      </c>
      <c r="H10" s="105" t="s">
        <v>100</v>
      </c>
      <c r="I10" s="105" t="s">
        <v>100</v>
      </c>
      <c r="J10" s="105" t="s">
        <v>100</v>
      </c>
      <c r="K10" s="105" t="s">
        <v>100</v>
      </c>
      <c r="L10" s="105" t="s">
        <v>100</v>
      </c>
      <c r="M10" s="106">
        <f t="shared" si="3"/>
        <v>1800</v>
      </c>
      <c r="N10" s="107">
        <f t="shared" si="2"/>
        <v>0</v>
      </c>
      <c r="O10" s="108">
        <v>300.0</v>
      </c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</row>
    <row r="11" ht="12.75" customHeight="1">
      <c r="A11" s="81" t="s">
        <v>109</v>
      </c>
      <c r="B11" s="84">
        <v>400.0</v>
      </c>
      <c r="C11" s="96">
        <v>400.0</v>
      </c>
      <c r="D11" s="96">
        <v>400.0</v>
      </c>
      <c r="E11" s="96">
        <v>400.0</v>
      </c>
      <c r="F11" s="96">
        <v>400.0</v>
      </c>
      <c r="G11" s="96">
        <v>400.0</v>
      </c>
      <c r="H11" s="96" t="s">
        <v>100</v>
      </c>
      <c r="I11" s="96" t="s">
        <v>100</v>
      </c>
      <c r="J11" s="96" t="s">
        <v>100</v>
      </c>
      <c r="K11" s="96" t="s">
        <v>100</v>
      </c>
      <c r="L11" s="96" t="s">
        <v>100</v>
      </c>
      <c r="M11" s="82">
        <f t="shared" si="3"/>
        <v>2400</v>
      </c>
      <c r="N11" s="79">
        <f t="shared" si="2"/>
        <v>0</v>
      </c>
      <c r="O11" s="83">
        <v>400.0</v>
      </c>
    </row>
    <row r="12" ht="12.75" customHeight="1">
      <c r="A12" s="81" t="s">
        <v>110</v>
      </c>
      <c r="B12" s="84">
        <v>400.0</v>
      </c>
      <c r="C12" s="96">
        <v>100.0</v>
      </c>
      <c r="D12" s="96">
        <v>0.0</v>
      </c>
      <c r="E12" s="96">
        <v>0.0</v>
      </c>
      <c r="F12" s="96">
        <v>0.0</v>
      </c>
      <c r="G12" s="96">
        <v>0.0</v>
      </c>
      <c r="H12" s="96" t="s">
        <v>100</v>
      </c>
      <c r="I12" s="96" t="s">
        <v>100</v>
      </c>
      <c r="J12" s="96" t="s">
        <v>100</v>
      </c>
      <c r="K12" s="96" t="s">
        <v>100</v>
      </c>
      <c r="L12" s="96" t="s">
        <v>100</v>
      </c>
      <c r="M12" s="82">
        <f t="shared" si="3"/>
        <v>500</v>
      </c>
      <c r="N12" s="79">
        <f t="shared" si="2"/>
        <v>1900</v>
      </c>
      <c r="O12" s="83">
        <v>400.0</v>
      </c>
    </row>
    <row r="13" ht="12.75" customHeight="1">
      <c r="A13" s="81" t="s">
        <v>111</v>
      </c>
      <c r="B13" s="84">
        <v>400.0</v>
      </c>
      <c r="C13" s="96">
        <v>400.0</v>
      </c>
      <c r="D13" s="96">
        <v>400.0</v>
      </c>
      <c r="E13" s="96">
        <v>400.0</v>
      </c>
      <c r="F13" s="96">
        <v>400.0</v>
      </c>
      <c r="G13" s="96">
        <v>400.0</v>
      </c>
      <c r="H13" s="96" t="s">
        <v>100</v>
      </c>
      <c r="I13" s="96" t="s">
        <v>100</v>
      </c>
      <c r="J13" s="96" t="s">
        <v>100</v>
      </c>
      <c r="K13" s="96" t="s">
        <v>100</v>
      </c>
      <c r="L13" s="96" t="s">
        <v>100</v>
      </c>
      <c r="M13" s="82">
        <f t="shared" si="3"/>
        <v>2400</v>
      </c>
      <c r="N13" s="79">
        <f t="shared" si="2"/>
        <v>0</v>
      </c>
      <c r="O13" s="83">
        <v>400.0</v>
      </c>
    </row>
    <row r="14" ht="12.75" customHeight="1">
      <c r="A14" s="81" t="s">
        <v>112</v>
      </c>
      <c r="B14" s="84" t="s">
        <v>100</v>
      </c>
      <c r="C14" s="96" t="s">
        <v>100</v>
      </c>
      <c r="D14" s="96">
        <v>200.0</v>
      </c>
      <c r="E14" s="96">
        <v>0.0</v>
      </c>
      <c r="F14" s="96">
        <v>0.0</v>
      </c>
      <c r="G14" s="96">
        <v>0.0</v>
      </c>
      <c r="H14" s="96" t="s">
        <v>100</v>
      </c>
      <c r="I14" s="96" t="s">
        <v>100</v>
      </c>
      <c r="J14" s="96" t="s">
        <v>100</v>
      </c>
      <c r="K14" s="96" t="s">
        <v>100</v>
      </c>
      <c r="L14" s="96" t="s">
        <v>100</v>
      </c>
      <c r="M14" s="82">
        <f t="shared" si="3"/>
        <v>200</v>
      </c>
      <c r="N14" s="79">
        <f t="shared" si="2"/>
        <v>1400</v>
      </c>
      <c r="O14" s="83">
        <v>400.0</v>
      </c>
    </row>
    <row r="15" ht="12.75" customHeight="1">
      <c r="A15" s="81" t="s">
        <v>113</v>
      </c>
      <c r="B15" s="84">
        <v>400.0</v>
      </c>
      <c r="C15" s="96">
        <v>400.0</v>
      </c>
      <c r="D15" s="96">
        <v>400.0</v>
      </c>
      <c r="E15" s="96">
        <v>400.0</v>
      </c>
      <c r="F15" s="96">
        <v>400.0</v>
      </c>
      <c r="G15" s="96">
        <v>400.0</v>
      </c>
      <c r="H15" s="96" t="s">
        <v>100</v>
      </c>
      <c r="I15" s="96" t="s">
        <v>100</v>
      </c>
      <c r="J15" s="96" t="s">
        <v>100</v>
      </c>
      <c r="K15" s="96" t="s">
        <v>100</v>
      </c>
      <c r="L15" s="96" t="s">
        <v>100</v>
      </c>
      <c r="M15" s="82">
        <f t="shared" si="3"/>
        <v>2400</v>
      </c>
      <c r="N15" s="79">
        <f t="shared" si="2"/>
        <v>0</v>
      </c>
      <c r="O15" s="83">
        <v>400.0</v>
      </c>
    </row>
    <row r="16" ht="12.75" customHeight="1">
      <c r="A16" s="81" t="s">
        <v>114</v>
      </c>
      <c r="B16" s="84">
        <v>400.0</v>
      </c>
      <c r="C16" s="96">
        <v>400.0</v>
      </c>
      <c r="D16" s="96">
        <v>400.0</v>
      </c>
      <c r="E16" s="96">
        <v>400.0</v>
      </c>
      <c r="F16" s="96">
        <v>400.0</v>
      </c>
      <c r="G16" s="96">
        <v>400.0</v>
      </c>
      <c r="H16" s="96" t="s">
        <v>100</v>
      </c>
      <c r="I16" s="96" t="s">
        <v>100</v>
      </c>
      <c r="J16" s="96" t="s">
        <v>100</v>
      </c>
      <c r="K16" s="96" t="s">
        <v>100</v>
      </c>
      <c r="L16" s="96" t="s">
        <v>100</v>
      </c>
      <c r="M16" s="82">
        <f t="shared" si="3"/>
        <v>2400</v>
      </c>
      <c r="N16" s="79">
        <f t="shared" si="2"/>
        <v>0</v>
      </c>
      <c r="O16" s="83">
        <v>400.0</v>
      </c>
    </row>
    <row r="17" ht="12.75" customHeight="1">
      <c r="A17" s="81" t="s">
        <v>115</v>
      </c>
      <c r="B17" s="84">
        <v>400.0</v>
      </c>
      <c r="C17" s="96">
        <v>400.0</v>
      </c>
      <c r="D17" s="96">
        <v>400.0</v>
      </c>
      <c r="E17" s="96">
        <v>0.0</v>
      </c>
      <c r="F17" s="96">
        <v>0.0</v>
      </c>
      <c r="G17" s="96" t="s">
        <v>100</v>
      </c>
      <c r="H17" s="96" t="s">
        <v>100</v>
      </c>
      <c r="I17" s="96" t="s">
        <v>100</v>
      </c>
      <c r="J17" s="96" t="s">
        <v>100</v>
      </c>
      <c r="K17" s="96" t="s">
        <v>100</v>
      </c>
      <c r="L17" s="96" t="s">
        <v>100</v>
      </c>
      <c r="M17" s="82">
        <f t="shared" si="3"/>
        <v>1200</v>
      </c>
      <c r="N17" s="79">
        <f t="shared" si="2"/>
        <v>800</v>
      </c>
      <c r="O17" s="83">
        <v>400.0</v>
      </c>
    </row>
    <row r="18" ht="12.75" customHeight="1">
      <c r="A18" s="110" t="s">
        <v>116</v>
      </c>
      <c r="B18" s="84" t="s">
        <v>100</v>
      </c>
      <c r="C18" s="96" t="s">
        <v>100</v>
      </c>
      <c r="D18" s="96">
        <v>350.0</v>
      </c>
      <c r="E18" s="96">
        <v>0.0</v>
      </c>
      <c r="F18" s="96">
        <v>0.0</v>
      </c>
      <c r="G18" s="96">
        <v>0.0</v>
      </c>
      <c r="H18" s="96" t="s">
        <v>100</v>
      </c>
      <c r="I18" s="96" t="s">
        <v>100</v>
      </c>
      <c r="J18" s="96" t="s">
        <v>100</v>
      </c>
      <c r="K18" s="96" t="s">
        <v>100</v>
      </c>
      <c r="L18" s="96" t="s">
        <v>100</v>
      </c>
      <c r="M18" s="82">
        <f t="shared" si="3"/>
        <v>350</v>
      </c>
      <c r="N18" s="79">
        <f t="shared" si="2"/>
        <v>1250</v>
      </c>
      <c r="O18" s="111">
        <v>400.0</v>
      </c>
    </row>
    <row r="19" ht="12.75" customHeight="1">
      <c r="A19" s="110" t="s">
        <v>123</v>
      </c>
      <c r="B19" s="84"/>
      <c r="C19" s="96">
        <v>400.0</v>
      </c>
      <c r="D19" s="96">
        <v>400.0</v>
      </c>
      <c r="E19" s="96">
        <v>400.0</v>
      </c>
      <c r="F19" s="96">
        <v>400.0</v>
      </c>
      <c r="G19" s="96">
        <v>400.0</v>
      </c>
      <c r="H19" s="96" t="s">
        <v>100</v>
      </c>
      <c r="I19" s="96" t="s">
        <v>100</v>
      </c>
      <c r="J19" s="96" t="s">
        <v>100</v>
      </c>
      <c r="K19" s="96" t="s">
        <v>100</v>
      </c>
      <c r="L19" s="96" t="s">
        <v>100</v>
      </c>
      <c r="M19" s="82">
        <f t="shared" si="3"/>
        <v>2000</v>
      </c>
      <c r="N19" s="79">
        <f t="shared" ref="N19:N21" si="4">(O19*COUNTIF(C19:L19,"&lt;&gt;A"))-SUM(C19:L19)</f>
        <v>0</v>
      </c>
      <c r="O19" s="83">
        <v>400.0</v>
      </c>
    </row>
    <row r="20" ht="12.75" customHeight="1">
      <c r="A20" s="112" t="s">
        <v>124</v>
      </c>
      <c r="B20" s="87"/>
      <c r="C20" s="96">
        <v>400.0</v>
      </c>
      <c r="D20" s="96">
        <v>400.0</v>
      </c>
      <c r="E20" s="96">
        <v>400.0</v>
      </c>
      <c r="F20" s="96">
        <v>400.0</v>
      </c>
      <c r="G20" s="96">
        <v>400.0</v>
      </c>
      <c r="H20" s="96" t="s">
        <v>100</v>
      </c>
      <c r="I20" s="96" t="s">
        <v>100</v>
      </c>
      <c r="J20" s="96" t="s">
        <v>100</v>
      </c>
      <c r="K20" s="96" t="s">
        <v>100</v>
      </c>
      <c r="L20" s="96" t="s">
        <v>100</v>
      </c>
      <c r="M20" s="82">
        <f t="shared" si="3"/>
        <v>2000</v>
      </c>
      <c r="N20" s="79">
        <f t="shared" si="4"/>
        <v>0</v>
      </c>
      <c r="O20" s="113">
        <v>400.0</v>
      </c>
    </row>
    <row r="21" ht="12.75" customHeight="1">
      <c r="A21" s="112" t="s">
        <v>125</v>
      </c>
      <c r="B21" s="87"/>
      <c r="C21" s="96">
        <v>400.0</v>
      </c>
      <c r="D21" s="96">
        <v>400.0</v>
      </c>
      <c r="E21" s="96">
        <v>400.0</v>
      </c>
      <c r="F21" s="96">
        <v>400.0</v>
      </c>
      <c r="G21" s="96">
        <v>400.0</v>
      </c>
      <c r="H21" s="96" t="s">
        <v>100</v>
      </c>
      <c r="I21" s="96" t="s">
        <v>100</v>
      </c>
      <c r="J21" s="96" t="s">
        <v>100</v>
      </c>
      <c r="K21" s="96" t="s">
        <v>100</v>
      </c>
      <c r="L21" s="96" t="s">
        <v>100</v>
      </c>
      <c r="M21" s="82">
        <f t="shared" si="3"/>
        <v>2000</v>
      </c>
      <c r="N21" s="79">
        <f t="shared" si="4"/>
        <v>0</v>
      </c>
      <c r="O21" s="113">
        <v>400.0</v>
      </c>
    </row>
    <row r="22" ht="12.75" customHeight="1">
      <c r="A22" s="112" t="s">
        <v>126</v>
      </c>
      <c r="B22" s="87"/>
      <c r="C22" s="84"/>
      <c r="D22" s="84">
        <v>400.0</v>
      </c>
      <c r="E22" s="84">
        <v>400.0</v>
      </c>
      <c r="F22" s="84">
        <v>400.0</v>
      </c>
      <c r="G22" s="84">
        <v>400.0</v>
      </c>
      <c r="H22" s="84" t="s">
        <v>100</v>
      </c>
      <c r="I22" s="84" t="s">
        <v>100</v>
      </c>
      <c r="J22" s="84" t="s">
        <v>100</v>
      </c>
      <c r="K22" s="84" t="s">
        <v>100</v>
      </c>
      <c r="L22" s="84" t="s">
        <v>100</v>
      </c>
      <c r="M22" s="82">
        <f t="shared" ref="M22:M23" si="5">SUM(D22:L22)</f>
        <v>1600</v>
      </c>
      <c r="N22" s="79">
        <f t="shared" ref="N22:N23" si="6">(O22*COUNTIF(D22:L22,"&lt;&gt;A"))-SUM(D22:L22)</f>
        <v>0</v>
      </c>
      <c r="O22" s="113">
        <v>400.0</v>
      </c>
    </row>
    <row r="23" ht="12.75" customHeight="1">
      <c r="A23" s="114" t="s">
        <v>127</v>
      </c>
      <c r="B23" s="115"/>
      <c r="C23" s="104"/>
      <c r="D23" s="104">
        <v>300.0</v>
      </c>
      <c r="E23" s="104">
        <v>300.0</v>
      </c>
      <c r="F23" s="104">
        <v>300.0</v>
      </c>
      <c r="G23" s="104">
        <v>300.0</v>
      </c>
      <c r="H23" s="104" t="s">
        <v>100</v>
      </c>
      <c r="I23" s="104" t="s">
        <v>100</v>
      </c>
      <c r="J23" s="104" t="s">
        <v>100</v>
      </c>
      <c r="K23" s="104" t="s">
        <v>100</v>
      </c>
      <c r="L23" s="104" t="s">
        <v>100</v>
      </c>
      <c r="M23" s="106">
        <f t="shared" si="5"/>
        <v>1200</v>
      </c>
      <c r="N23" s="107">
        <f t="shared" si="6"/>
        <v>0</v>
      </c>
      <c r="O23" s="116">
        <v>300.0</v>
      </c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</row>
    <row r="24" ht="12.75" customHeight="1">
      <c r="A24" s="112" t="s">
        <v>128</v>
      </c>
      <c r="B24" s="87"/>
      <c r="C24" s="84"/>
      <c r="D24" s="84"/>
      <c r="E24" s="84"/>
      <c r="F24" s="84"/>
      <c r="G24" s="84">
        <v>0.0</v>
      </c>
      <c r="H24" s="84"/>
      <c r="I24" s="84"/>
      <c r="J24" s="84"/>
      <c r="K24" s="84"/>
      <c r="L24" s="84"/>
      <c r="M24" s="87"/>
      <c r="N24" s="117"/>
      <c r="O24" s="113"/>
    </row>
    <row r="25" ht="12.75" customHeight="1">
      <c r="A25" s="112" t="s">
        <v>129</v>
      </c>
      <c r="B25" s="87"/>
      <c r="C25" s="84"/>
      <c r="D25" s="84"/>
      <c r="E25" s="84"/>
      <c r="F25" s="84"/>
      <c r="G25" s="84">
        <v>400.0</v>
      </c>
      <c r="H25" s="84"/>
      <c r="I25" s="84"/>
      <c r="J25" s="84"/>
      <c r="K25" s="84"/>
      <c r="L25" s="84"/>
      <c r="M25" s="87"/>
      <c r="N25" s="117"/>
      <c r="O25" s="113"/>
    </row>
    <row r="26" ht="12.75" customHeight="1">
      <c r="A26" s="112" t="s">
        <v>130</v>
      </c>
      <c r="B26" s="87"/>
      <c r="C26" s="84"/>
      <c r="D26" s="84"/>
      <c r="E26" s="84"/>
      <c r="F26" s="84"/>
      <c r="G26" s="84">
        <v>400.0</v>
      </c>
      <c r="H26" s="84"/>
      <c r="I26" s="84"/>
      <c r="J26" s="84"/>
      <c r="K26" s="84"/>
      <c r="L26" s="84"/>
      <c r="M26" s="87"/>
      <c r="N26" s="117"/>
      <c r="O26" s="113"/>
    </row>
    <row r="27" ht="12.75" customHeight="1">
      <c r="A27" s="112" t="s">
        <v>131</v>
      </c>
      <c r="B27" s="87"/>
      <c r="C27" s="84"/>
      <c r="D27" s="84"/>
      <c r="E27" s="84"/>
      <c r="F27" s="84">
        <v>400.0</v>
      </c>
      <c r="G27" s="84">
        <v>400.0</v>
      </c>
      <c r="H27" s="84"/>
      <c r="I27" s="84"/>
      <c r="J27" s="84"/>
      <c r="K27" s="84"/>
      <c r="L27" s="84"/>
      <c r="M27" s="87"/>
      <c r="N27" s="117"/>
      <c r="O27" s="113"/>
    </row>
    <row r="28" ht="12.75" customHeight="1">
      <c r="A28" s="112" t="s">
        <v>132</v>
      </c>
      <c r="B28" s="87"/>
      <c r="C28" s="84"/>
      <c r="D28" s="84"/>
      <c r="E28" s="84"/>
      <c r="F28" s="84"/>
      <c r="G28" s="84">
        <v>0.0</v>
      </c>
      <c r="H28" s="84"/>
      <c r="I28" s="84"/>
      <c r="J28" s="84"/>
      <c r="K28" s="84"/>
      <c r="L28" s="84"/>
      <c r="M28" s="87"/>
      <c r="N28" s="117"/>
      <c r="O28" s="113"/>
    </row>
    <row r="29" ht="12.75" customHeight="1">
      <c r="A29" s="112" t="s">
        <v>133</v>
      </c>
      <c r="B29" s="87"/>
      <c r="C29" s="118"/>
      <c r="D29" s="118"/>
      <c r="E29" s="118"/>
      <c r="F29" s="118"/>
      <c r="G29" s="118">
        <v>400.0</v>
      </c>
      <c r="H29" s="118"/>
      <c r="I29" s="118"/>
      <c r="J29" s="118"/>
      <c r="K29" s="118"/>
      <c r="L29" s="118"/>
      <c r="M29" s="87"/>
      <c r="N29" s="117"/>
      <c r="O29" s="113"/>
    </row>
    <row r="30" ht="12.75" customHeight="1">
      <c r="A30" s="112" t="s">
        <v>134</v>
      </c>
      <c r="B30" s="87"/>
      <c r="C30" s="118"/>
      <c r="D30" s="118"/>
      <c r="E30" s="118"/>
      <c r="F30" s="118">
        <v>400.0</v>
      </c>
      <c r="G30" s="118">
        <v>400.0</v>
      </c>
      <c r="H30" s="118"/>
      <c r="I30" s="118"/>
      <c r="J30" s="118"/>
      <c r="K30" s="118"/>
      <c r="L30" s="118"/>
      <c r="M30" s="87"/>
      <c r="N30" s="117"/>
      <c r="O30" s="113"/>
    </row>
    <row r="31" ht="12.75" customHeight="1">
      <c r="A31" s="89" t="s">
        <v>117</v>
      </c>
      <c r="B31" s="90">
        <f t="shared" ref="B31:O31" si="7">SUM(B2:B30)</f>
        <v>5800</v>
      </c>
      <c r="C31" s="90">
        <f t="shared" si="7"/>
        <v>6700</v>
      </c>
      <c r="D31" s="90">
        <f t="shared" si="7"/>
        <v>7450</v>
      </c>
      <c r="E31" s="90">
        <f t="shared" si="7"/>
        <v>6500</v>
      </c>
      <c r="F31" s="90">
        <f t="shared" si="7"/>
        <v>7700</v>
      </c>
      <c r="G31" s="90">
        <f t="shared" si="7"/>
        <v>8900</v>
      </c>
      <c r="H31" s="90">
        <f t="shared" si="7"/>
        <v>0</v>
      </c>
      <c r="I31" s="90">
        <f t="shared" si="7"/>
        <v>0</v>
      </c>
      <c r="J31" s="90">
        <f t="shared" si="7"/>
        <v>0</v>
      </c>
      <c r="K31" s="90">
        <f t="shared" si="7"/>
        <v>0</v>
      </c>
      <c r="L31" s="90">
        <f t="shared" si="7"/>
        <v>0</v>
      </c>
      <c r="M31" s="90">
        <f t="shared" si="7"/>
        <v>35450</v>
      </c>
      <c r="N31" s="90">
        <f t="shared" si="7"/>
        <v>6150</v>
      </c>
      <c r="O31" s="90">
        <f t="shared" si="7"/>
        <v>8500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 ht="12.75" customHeight="1">
      <c r="A32" s="92" t="s">
        <v>118</v>
      </c>
      <c r="B32" s="92">
        <f t="shared" ref="B32:C32" si="8">COUNT(B2:B21)</f>
        <v>15</v>
      </c>
      <c r="C32" s="92">
        <f t="shared" si="8"/>
        <v>18</v>
      </c>
      <c r="D32" s="92">
        <f t="shared" ref="D32:F32" si="9">COUNT(D2:D28)</f>
        <v>22</v>
      </c>
      <c r="E32" s="92">
        <f t="shared" si="9"/>
        <v>22</v>
      </c>
      <c r="F32" s="92">
        <f t="shared" si="9"/>
        <v>23</v>
      </c>
      <c r="G32" s="92">
        <f>COUNT(G2:G30)</f>
        <v>28</v>
      </c>
      <c r="H32" s="92">
        <f t="shared" ref="H32:L32" si="10">COUNT(H2:H28)</f>
        <v>0</v>
      </c>
      <c r="I32" s="92">
        <f t="shared" si="10"/>
        <v>0</v>
      </c>
      <c r="J32" s="92">
        <f t="shared" si="10"/>
        <v>0</v>
      </c>
      <c r="K32" s="92">
        <f t="shared" si="10"/>
        <v>0</v>
      </c>
      <c r="L32" s="92">
        <f t="shared" si="10"/>
        <v>0</v>
      </c>
      <c r="M32" s="94"/>
      <c r="N32" s="94"/>
      <c r="O32" s="9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>
      <c r="D65" s="119"/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conditionalFormatting sqref="N1:N30 M4 N32">
    <cfRule type="expression" dxfId="1" priority="1">
      <formula>B2="A"</formula>
    </cfRule>
  </conditionalFormatting>
  <conditionalFormatting sqref="V33:V1009">
    <cfRule type="expression" dxfId="1" priority="2">
      <formula>B34="A"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8.88"/>
    <col customWidth="1" min="2" max="2" width="19.0"/>
    <col customWidth="1" min="3" max="3" width="12.13"/>
    <col customWidth="1" min="4" max="4" width="12.88"/>
    <col customWidth="1" min="5" max="5" width="11.63"/>
    <col customWidth="1" min="6" max="6" width="12.0"/>
    <col customWidth="1" min="7" max="8" width="13.63"/>
    <col customWidth="1" min="9" max="9" width="15.13"/>
    <col customWidth="1" min="10" max="11" width="13.5"/>
    <col customWidth="1" min="12" max="12" width="15.5"/>
    <col customWidth="1" min="13" max="14" width="15.88"/>
    <col customWidth="1" min="15" max="17" width="19.88"/>
    <col customWidth="1" min="18" max="18" width="17.0"/>
    <col customWidth="1" min="19" max="24" width="9.1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4"/>
      <c r="U2" s="4"/>
      <c r="V2" s="4"/>
      <c r="W2" s="4"/>
      <c r="X2" s="4"/>
    </row>
    <row r="3" ht="12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4"/>
      <c r="U3" s="4"/>
      <c r="V3" s="4"/>
      <c r="W3" s="4"/>
      <c r="X3" s="4"/>
    </row>
    <row r="4" ht="12.7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4"/>
      <c r="U4" s="4"/>
      <c r="V4" s="4"/>
      <c r="W4" s="4"/>
      <c r="X4" s="4"/>
    </row>
    <row r="5" ht="12.7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4"/>
      <c r="U5" s="4"/>
      <c r="V5" s="4"/>
      <c r="W5" s="4"/>
      <c r="X5" s="4"/>
    </row>
    <row r="6" ht="12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4"/>
      <c r="U6" s="4"/>
      <c r="V6" s="4"/>
      <c r="W6" s="4"/>
      <c r="X6" s="4"/>
    </row>
    <row r="7" ht="13.5" customHeight="1">
      <c r="A7" s="4"/>
      <c r="B7" s="4"/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4"/>
      <c r="B8" s="4"/>
      <c r="C8" s="11" t="s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4" t="s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12" t="s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6.5" customHeight="1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15" t="s">
        <v>3</v>
      </c>
      <c r="B16" s="16" t="s">
        <v>4</v>
      </c>
      <c r="C16" s="18" t="s">
        <v>119</v>
      </c>
      <c r="D16" s="120" t="s">
        <v>135</v>
      </c>
      <c r="E16" s="120" t="s">
        <v>136</v>
      </c>
      <c r="F16" s="120" t="s">
        <v>137</v>
      </c>
      <c r="G16" s="120" t="s">
        <v>138</v>
      </c>
      <c r="H16" s="120" t="s">
        <v>139</v>
      </c>
      <c r="I16" s="120" t="s">
        <v>90</v>
      </c>
      <c r="J16" s="120" t="s">
        <v>91</v>
      </c>
      <c r="K16" s="120" t="s">
        <v>5</v>
      </c>
      <c r="L16" s="120" t="s">
        <v>6</v>
      </c>
      <c r="M16" s="120" t="s">
        <v>7</v>
      </c>
      <c r="N16" s="120" t="s">
        <v>17</v>
      </c>
      <c r="O16" s="18" t="s">
        <v>119</v>
      </c>
      <c r="P16" s="16" t="s">
        <v>18</v>
      </c>
      <c r="Q16" s="20"/>
      <c r="R16" s="4"/>
      <c r="S16" s="4"/>
      <c r="T16" s="4"/>
      <c r="U16" s="4"/>
      <c r="V16" s="4"/>
    </row>
    <row r="17" ht="22.5" customHeight="1">
      <c r="A17" s="21" t="s">
        <v>19</v>
      </c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4"/>
      <c r="S17" s="4"/>
      <c r="T17" s="4"/>
      <c r="U17" s="4"/>
      <c r="V17" s="4"/>
    </row>
    <row r="18" ht="36.75" customHeight="1">
      <c r="A18" s="25" t="s">
        <v>140</v>
      </c>
      <c r="B18" s="2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4"/>
      <c r="S18" s="4"/>
      <c r="T18" s="4"/>
      <c r="U18" s="4"/>
      <c r="V18" s="4"/>
    </row>
    <row r="19" ht="12.75" customHeight="1">
      <c r="A19" s="21" t="s">
        <v>21</v>
      </c>
      <c r="B19" s="27">
        <v>0.0</v>
      </c>
      <c r="C19" s="30">
        <v>17.0</v>
      </c>
      <c r="D19" s="30">
        <v>21.0</v>
      </c>
      <c r="E19" s="30">
        <f>'20252026 students'!D32</f>
        <v>22</v>
      </c>
      <c r="F19" s="30">
        <f>'20252026 students'!E32</f>
        <v>22</v>
      </c>
      <c r="G19" s="30">
        <f>'20252026 students'!F32</f>
        <v>23</v>
      </c>
      <c r="H19" s="30">
        <f>'20252026 students'!G32</f>
        <v>28</v>
      </c>
      <c r="I19" s="30">
        <f>'20252026 students'!H32</f>
        <v>0</v>
      </c>
      <c r="J19" s="30">
        <f>'20252026 students'!I32</f>
        <v>0</v>
      </c>
      <c r="K19" s="30">
        <f>'20252026 students'!J32</f>
        <v>0</v>
      </c>
      <c r="L19" s="30">
        <f>'20252026 students'!K32</f>
        <v>0</v>
      </c>
      <c r="M19" s="30">
        <f>'20252026 students'!L32</f>
        <v>0</v>
      </c>
      <c r="N19" s="30" t="str">
        <f>'20252026 students'!M32</f>
        <v/>
      </c>
      <c r="O19" s="30" t="str">
        <f>'20252026 students'!N32</f>
        <v/>
      </c>
      <c r="P19" s="28">
        <f>P17+P18</f>
        <v>0</v>
      </c>
      <c r="Q19" s="24"/>
      <c r="R19" s="4"/>
      <c r="S19" s="4"/>
      <c r="T19" s="4"/>
      <c r="U19" s="4"/>
      <c r="V19" s="4"/>
    </row>
    <row r="20" ht="12.75" customHeight="1">
      <c r="A20" s="31"/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3"/>
      <c r="Q20" s="24"/>
      <c r="R20" s="4"/>
      <c r="S20" s="4"/>
      <c r="T20" s="4"/>
      <c r="U20" s="4"/>
      <c r="V20" s="4"/>
    </row>
    <row r="21" ht="33.0" customHeight="1">
      <c r="A21" s="32" t="s">
        <v>22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3"/>
      <c r="Q21" s="33" t="s">
        <v>23</v>
      </c>
      <c r="R21" s="4"/>
      <c r="S21" s="4"/>
      <c r="T21" s="4"/>
      <c r="U21" s="4"/>
      <c r="V21" s="4"/>
    </row>
    <row r="22" ht="12.75" customHeight="1">
      <c r="A22" s="34"/>
      <c r="B22" s="2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3"/>
      <c r="Q22" s="35"/>
      <c r="R22" s="4"/>
      <c r="S22" s="4"/>
      <c r="T22" s="4"/>
      <c r="U22" s="4"/>
      <c r="V22" s="4"/>
    </row>
    <row r="23" ht="12.75" customHeight="1">
      <c r="A23" s="21" t="s">
        <v>24</v>
      </c>
      <c r="B23" s="26"/>
      <c r="C23" s="4">
        <f>'20252026 students'!B31</f>
        <v>5800</v>
      </c>
      <c r="D23" s="4">
        <f>'20252026 students'!C31</f>
        <v>6700</v>
      </c>
      <c r="E23" s="4">
        <f>'20252026 students'!D31</f>
        <v>7450</v>
      </c>
      <c r="F23" s="4">
        <f>'20252026 students'!E31</f>
        <v>6500</v>
      </c>
      <c r="G23" s="4">
        <f>'20252026 students'!F31</f>
        <v>7700</v>
      </c>
      <c r="H23" s="4">
        <f>'20252026 students'!G31</f>
        <v>8900</v>
      </c>
      <c r="I23" s="4" t="str">
        <f t="shared" ref="I23:O23" si="1">#REF!</f>
        <v>#REF!</v>
      </c>
      <c r="J23" s="4" t="str">
        <f t="shared" si="1"/>
        <v>#REF!</v>
      </c>
      <c r="K23" s="4" t="str">
        <f t="shared" si="1"/>
        <v>#REF!</v>
      </c>
      <c r="L23" s="4" t="str">
        <f t="shared" si="1"/>
        <v>#REF!</v>
      </c>
      <c r="M23" s="4" t="str">
        <f t="shared" si="1"/>
        <v>#REF!</v>
      </c>
      <c r="N23" s="4" t="str">
        <f t="shared" si="1"/>
        <v>#REF!</v>
      </c>
      <c r="O23" s="4" t="str">
        <f t="shared" si="1"/>
        <v>#REF!</v>
      </c>
      <c r="P23" s="13" t="str">
        <f>SUM(C23:N23)</f>
        <v>#REF!</v>
      </c>
      <c r="Q23" s="35" t="str">
        <f>P23/$P$33</f>
        <v>#REF!</v>
      </c>
      <c r="R23" s="4"/>
      <c r="S23" s="4"/>
      <c r="T23" s="4"/>
      <c r="U23" s="4"/>
      <c r="V23" s="4"/>
    </row>
    <row r="24" ht="12.75" customHeight="1">
      <c r="A24" s="21"/>
      <c r="B24" s="121">
        <v>0.0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3"/>
      <c r="Q24" s="35"/>
      <c r="R24" s="4"/>
      <c r="S24" s="4"/>
      <c r="T24" s="4"/>
      <c r="U24" s="4"/>
      <c r="V24" s="4"/>
    </row>
    <row r="25" ht="12.75" customHeight="1">
      <c r="A25" s="21" t="s">
        <v>25</v>
      </c>
      <c r="B25" s="26"/>
      <c r="C25" s="122">
        <v>700.0</v>
      </c>
      <c r="D25" s="4"/>
      <c r="E25" s="4"/>
      <c r="F25" s="4"/>
      <c r="G25" s="122"/>
      <c r="H25" s="122">
        <v>550.0</v>
      </c>
      <c r="I25" s="4"/>
      <c r="J25" s="4"/>
      <c r="K25" s="4"/>
      <c r="L25" s="4"/>
      <c r="M25" s="4"/>
      <c r="N25" s="4"/>
      <c r="O25" s="4"/>
      <c r="P25" s="13">
        <f>SUM(C25:N25)</f>
        <v>1250</v>
      </c>
      <c r="Q25" s="35" t="str">
        <f>P25/$P$33</f>
        <v>#REF!</v>
      </c>
      <c r="R25" s="4"/>
      <c r="S25" s="4"/>
      <c r="T25" s="4"/>
      <c r="U25" s="4"/>
      <c r="V25" s="4"/>
    </row>
    <row r="26" ht="12.75" customHeight="1">
      <c r="A26" s="21" t="s">
        <v>26</v>
      </c>
      <c r="B26" s="26"/>
      <c r="C26" s="122">
        <v>0.0</v>
      </c>
      <c r="D26" s="122">
        <v>1200.0</v>
      </c>
      <c r="E26" s="122">
        <v>400.0</v>
      </c>
      <c r="F26" s="4">
        <v>0.0</v>
      </c>
      <c r="G26" s="122">
        <v>800.0</v>
      </c>
      <c r="H26" s="122">
        <v>1600.0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13"/>
      <c r="Q26" s="35"/>
      <c r="R26" s="4"/>
      <c r="S26" s="4"/>
      <c r="T26" s="4"/>
      <c r="U26" s="4"/>
      <c r="V26" s="4"/>
    </row>
    <row r="27" ht="12.75" customHeight="1">
      <c r="A27" s="21" t="s">
        <v>27</v>
      </c>
      <c r="B27" s="2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3">
        <f t="shared" ref="P27:P28" si="2">SUM(C27:N27)</f>
        <v>0</v>
      </c>
      <c r="Q27" s="35" t="str">
        <f t="shared" ref="Q27:Q28" si="3">P27/$P$33</f>
        <v>#REF!</v>
      </c>
      <c r="R27" s="4"/>
      <c r="S27" s="4"/>
      <c r="T27" s="4"/>
      <c r="U27" s="4"/>
      <c r="V27" s="4"/>
    </row>
    <row r="28" ht="12.75" customHeight="1">
      <c r="A28" s="21" t="s">
        <v>28</v>
      </c>
      <c r="B28" s="2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3">
        <f t="shared" si="2"/>
        <v>0</v>
      </c>
      <c r="Q28" s="35" t="str">
        <f t="shared" si="3"/>
        <v>#REF!</v>
      </c>
      <c r="R28" s="4"/>
      <c r="S28" s="4"/>
      <c r="T28" s="4"/>
      <c r="U28" s="4"/>
      <c r="V28" s="4"/>
    </row>
    <row r="29" ht="12.75" customHeight="1">
      <c r="A29" s="21" t="s">
        <v>29</v>
      </c>
      <c r="B29" s="2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3"/>
      <c r="Q29" s="35"/>
      <c r="R29" s="4"/>
      <c r="S29" s="4"/>
      <c r="T29" s="4"/>
      <c r="U29" s="4"/>
      <c r="V29" s="4"/>
    </row>
    <row r="30" ht="12.75" customHeight="1">
      <c r="A30" s="21" t="s">
        <v>30</v>
      </c>
      <c r="B30" s="2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3"/>
      <c r="Q30" s="35"/>
      <c r="R30" s="4"/>
      <c r="S30" s="4"/>
      <c r="T30" s="4"/>
      <c r="U30" s="4"/>
      <c r="V30" s="4"/>
    </row>
    <row r="31" ht="12.75" customHeight="1">
      <c r="A31" s="21" t="s">
        <v>31</v>
      </c>
      <c r="B31" s="26"/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13"/>
      <c r="Q31" s="35"/>
      <c r="R31" s="4"/>
      <c r="S31" s="4"/>
      <c r="T31" s="4"/>
      <c r="U31" s="4"/>
      <c r="V31" s="4"/>
    </row>
    <row r="32" ht="12.75" customHeight="1">
      <c r="A32" s="21" t="s">
        <v>32</v>
      </c>
      <c r="B32" s="2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3">
        <f t="shared" ref="P32:P33" si="5">SUM(C32:N32)</f>
        <v>0</v>
      </c>
      <c r="Q32" s="35" t="str">
        <f t="shared" ref="Q32:Q33" si="6">P32/$P$33</f>
        <v>#REF!</v>
      </c>
      <c r="R32" s="4"/>
      <c r="S32" s="4"/>
      <c r="T32" s="4"/>
      <c r="U32" s="4"/>
      <c r="V32" s="4"/>
    </row>
    <row r="33" ht="12.75" customHeight="1">
      <c r="A33" s="38" t="s">
        <v>33</v>
      </c>
      <c r="B33" s="123">
        <v>854.0</v>
      </c>
      <c r="C33" s="40">
        <f t="shared" ref="C33:O33" si="4">SUM(C23:C32)</f>
        <v>6500</v>
      </c>
      <c r="D33" s="40">
        <f t="shared" si="4"/>
        <v>7900</v>
      </c>
      <c r="E33" s="40">
        <f t="shared" si="4"/>
        <v>7850</v>
      </c>
      <c r="F33" s="40">
        <f t="shared" si="4"/>
        <v>6500</v>
      </c>
      <c r="G33" s="40">
        <f t="shared" si="4"/>
        <v>8500</v>
      </c>
      <c r="H33" s="40">
        <f t="shared" si="4"/>
        <v>11050</v>
      </c>
      <c r="I33" s="40" t="str">
        <f t="shared" si="4"/>
        <v>#REF!</v>
      </c>
      <c r="J33" s="40" t="str">
        <f t="shared" si="4"/>
        <v>#REF!</v>
      </c>
      <c r="K33" s="40" t="str">
        <f t="shared" si="4"/>
        <v>#REF!</v>
      </c>
      <c r="L33" s="40" t="str">
        <f t="shared" si="4"/>
        <v>#REF!</v>
      </c>
      <c r="M33" s="40" t="str">
        <f t="shared" si="4"/>
        <v>#REF!</v>
      </c>
      <c r="N33" s="40" t="str">
        <f t="shared" si="4"/>
        <v>#REF!</v>
      </c>
      <c r="O33" s="40" t="str">
        <f t="shared" si="4"/>
        <v>#REF!</v>
      </c>
      <c r="P33" s="41" t="str">
        <f t="shared" si="5"/>
        <v>#REF!</v>
      </c>
      <c r="Q33" s="42" t="str">
        <f t="shared" si="6"/>
        <v>#REF!</v>
      </c>
      <c r="R33" s="4"/>
      <c r="S33" s="4"/>
      <c r="T33" s="4"/>
      <c r="U33" s="4"/>
      <c r="V33" s="4"/>
    </row>
    <row r="34" ht="12.75" customHeight="1">
      <c r="A34" s="15" t="s">
        <v>3</v>
      </c>
      <c r="B34" s="43" t="s">
        <v>4</v>
      </c>
      <c r="C34" s="16" t="s">
        <v>45</v>
      </c>
      <c r="D34" s="16" t="s">
        <v>45</v>
      </c>
      <c r="E34" s="16" t="s">
        <v>45</v>
      </c>
      <c r="F34" s="16" t="s">
        <v>45</v>
      </c>
      <c r="G34" s="16" t="s">
        <v>45</v>
      </c>
      <c r="H34" s="16" t="s">
        <v>45</v>
      </c>
      <c r="I34" s="16" t="s">
        <v>45</v>
      </c>
      <c r="J34" s="16" t="s">
        <v>45</v>
      </c>
      <c r="K34" s="16" t="s">
        <v>45</v>
      </c>
      <c r="L34" s="16" t="s">
        <v>45</v>
      </c>
      <c r="M34" s="16" t="s">
        <v>45</v>
      </c>
      <c r="N34" s="16" t="s">
        <v>45</v>
      </c>
      <c r="O34" s="16" t="s">
        <v>45</v>
      </c>
      <c r="P34" s="16" t="s">
        <v>18</v>
      </c>
      <c r="Q34" s="44"/>
      <c r="R34" s="4"/>
      <c r="S34" s="4"/>
      <c r="T34" s="4"/>
      <c r="U34" s="4"/>
      <c r="V34" s="4"/>
    </row>
    <row r="35" ht="12.75" customHeight="1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8"/>
      <c r="R35" s="4"/>
      <c r="S35" s="4"/>
      <c r="T35" s="4"/>
      <c r="U35" s="4"/>
      <c r="V35" s="4"/>
    </row>
    <row r="36" ht="31.5" customHeight="1">
      <c r="A36" s="32" t="s">
        <v>46</v>
      </c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3"/>
      <c r="Q36" s="24"/>
      <c r="R36" s="4"/>
      <c r="S36" s="4"/>
      <c r="T36" s="4"/>
      <c r="U36" s="4"/>
      <c r="V36" s="4"/>
    </row>
    <row r="37" ht="12.75" customHeight="1">
      <c r="A37" s="21"/>
      <c r="B37" s="2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3">
        <f t="shared" ref="P37:P39" si="7">SUM(C37:N37)</f>
        <v>0</v>
      </c>
      <c r="Q37" s="24" t="str">
        <f t="shared" ref="Q37:Q39" si="8">P37/$P$33</f>
        <v>#REF!</v>
      </c>
      <c r="R37" s="4"/>
      <c r="S37" s="4"/>
      <c r="T37" s="4"/>
      <c r="U37" s="4"/>
      <c r="V37" s="4"/>
    </row>
    <row r="38" ht="12.75" customHeight="1">
      <c r="A38" s="49" t="s">
        <v>47</v>
      </c>
      <c r="B38" s="2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3">
        <f t="shared" si="7"/>
        <v>0</v>
      </c>
      <c r="Q38" s="24" t="str">
        <f t="shared" si="8"/>
        <v>#REF!</v>
      </c>
      <c r="R38" s="4"/>
      <c r="S38" s="4"/>
      <c r="T38" s="4"/>
      <c r="U38" s="4"/>
      <c r="V38" s="4"/>
    </row>
    <row r="39" ht="12.75" customHeight="1">
      <c r="A39" s="21" t="s">
        <v>48</v>
      </c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3">
        <f t="shared" si="7"/>
        <v>0</v>
      </c>
      <c r="Q39" s="24" t="str">
        <f t="shared" si="8"/>
        <v>#REF!</v>
      </c>
      <c r="R39" s="4"/>
      <c r="S39" s="4"/>
      <c r="T39" s="4"/>
      <c r="U39" s="4"/>
      <c r="V39" s="4"/>
    </row>
    <row r="40" ht="12.75" customHeight="1">
      <c r="A40" s="21" t="s">
        <v>49</v>
      </c>
      <c r="B40" s="26"/>
      <c r="C40" s="122">
        <v>1500.0</v>
      </c>
      <c r="D40" s="122">
        <v>1500.0</v>
      </c>
      <c r="E40" s="122">
        <v>1500.0</v>
      </c>
      <c r="F40" s="122">
        <v>1500.0</v>
      </c>
      <c r="G40" s="122">
        <v>1500.0</v>
      </c>
      <c r="H40" s="122">
        <v>1500.0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13"/>
      <c r="Q40" s="24"/>
      <c r="R40" s="4"/>
      <c r="S40" s="4"/>
      <c r="T40" s="4"/>
      <c r="U40" s="4"/>
      <c r="V40" s="4"/>
    </row>
    <row r="41" ht="12.75" customHeight="1">
      <c r="A41" s="21" t="s">
        <v>50</v>
      </c>
      <c r="B41" s="26"/>
      <c r="C41" s="122">
        <v>800.0</v>
      </c>
      <c r="D41" s="122">
        <v>800.0</v>
      </c>
      <c r="E41" s="122">
        <v>800.0</v>
      </c>
      <c r="F41" s="122">
        <v>800.0</v>
      </c>
      <c r="G41" s="122">
        <v>800.0</v>
      </c>
      <c r="H41" s="122">
        <v>800.0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800.0</v>
      </c>
      <c r="N41" s="122">
        <v>800.0</v>
      </c>
      <c r="O41" s="122">
        <v>800.0</v>
      </c>
      <c r="P41" s="13">
        <f t="shared" ref="P41:P44" si="9">SUM(C41:N41)</f>
        <v>6400</v>
      </c>
      <c r="Q41" s="24" t="str">
        <f t="shared" ref="Q41:Q44" si="10">P41/$P$33</f>
        <v>#REF!</v>
      </c>
      <c r="R41" s="4"/>
      <c r="S41" s="4"/>
      <c r="T41" s="4"/>
      <c r="U41" s="4"/>
      <c r="V41" s="4"/>
    </row>
    <row r="42" ht="12.75" customHeight="1">
      <c r="A42" s="21" t="s">
        <v>51</v>
      </c>
      <c r="B42" s="2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3">
        <f t="shared" si="9"/>
        <v>0</v>
      </c>
      <c r="Q42" s="24" t="str">
        <f t="shared" si="10"/>
        <v>#REF!</v>
      </c>
      <c r="R42" s="4"/>
      <c r="S42" s="4"/>
      <c r="T42" s="4"/>
      <c r="U42" s="4"/>
      <c r="V42" s="4"/>
    </row>
    <row r="43" ht="12.75" customHeight="1">
      <c r="A43" s="50" t="s">
        <v>141</v>
      </c>
      <c r="B43" s="26"/>
      <c r="C43" s="4">
        <v>0.0</v>
      </c>
      <c r="D43" s="122"/>
      <c r="E43" s="4">
        <v>0.0</v>
      </c>
      <c r="F43" s="122"/>
      <c r="G43" s="122">
        <v>400.0</v>
      </c>
      <c r="H43" s="122">
        <v>400.0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13">
        <f t="shared" si="9"/>
        <v>800</v>
      </c>
      <c r="Q43" s="24" t="str">
        <f t="shared" si="10"/>
        <v>#REF!</v>
      </c>
      <c r="R43" s="4"/>
      <c r="S43" s="4"/>
      <c r="T43" s="4"/>
      <c r="U43" s="4"/>
      <c r="V43" s="4"/>
    </row>
    <row r="44" ht="12.75" customHeight="1">
      <c r="A44" s="21" t="s">
        <v>53</v>
      </c>
      <c r="B44" s="124">
        <v>0.0</v>
      </c>
      <c r="C44" s="122">
        <v>0.0</v>
      </c>
      <c r="D44" s="122">
        <v>0.0</v>
      </c>
      <c r="E44" s="4">
        <v>0.0</v>
      </c>
      <c r="F44" s="4">
        <v>0.0</v>
      </c>
      <c r="G44" s="122">
        <v>220.0</v>
      </c>
      <c r="H44" s="122">
        <v>40.0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13">
        <f t="shared" si="9"/>
        <v>260</v>
      </c>
      <c r="Q44" s="24" t="str">
        <f t="shared" si="10"/>
        <v>#REF!</v>
      </c>
      <c r="R44" s="4"/>
      <c r="S44" s="4"/>
      <c r="T44" s="4"/>
      <c r="U44" s="4"/>
      <c r="V44" s="4"/>
    </row>
    <row r="45" ht="12.75" customHeight="1">
      <c r="A45" s="21"/>
      <c r="B45" s="2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3"/>
      <c r="Q45" s="24"/>
      <c r="R45" s="4"/>
      <c r="S45" s="4"/>
      <c r="T45" s="4"/>
      <c r="U45" s="4"/>
      <c r="V45" s="4"/>
    </row>
    <row r="46" ht="12.75" customHeight="1">
      <c r="A46" s="49" t="s">
        <v>54</v>
      </c>
      <c r="B46" s="2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3"/>
      <c r="Q46" s="24"/>
      <c r="R46" s="4"/>
      <c r="S46" s="4"/>
      <c r="T46" s="4"/>
      <c r="U46" s="4"/>
      <c r="V46" s="4"/>
    </row>
    <row r="47" ht="12.75" customHeight="1">
      <c r="A47" s="21" t="s">
        <v>55</v>
      </c>
      <c r="B47" s="26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Q47" s="53"/>
      <c r="R47" s="4"/>
      <c r="S47" s="4"/>
      <c r="T47" s="4"/>
      <c r="U47" s="4"/>
      <c r="V47" s="4"/>
    </row>
    <row r="48" ht="12.75" customHeight="1">
      <c r="A48" s="21"/>
      <c r="B48" s="2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3"/>
      <c r="Q48" s="24"/>
      <c r="R48" s="4"/>
      <c r="S48" s="4"/>
      <c r="T48" s="4"/>
      <c r="U48" s="4"/>
      <c r="V48" s="4"/>
    </row>
    <row r="49" ht="12.75" customHeight="1">
      <c r="A49" s="49" t="s">
        <v>56</v>
      </c>
      <c r="B49" s="2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3"/>
      <c r="Q49" s="24"/>
      <c r="R49" s="4"/>
      <c r="S49" s="4"/>
      <c r="T49" s="4"/>
      <c r="U49" s="4"/>
      <c r="V49" s="4"/>
    </row>
    <row r="50" ht="12.75" customHeight="1">
      <c r="A50" s="21" t="s">
        <v>57</v>
      </c>
      <c r="B50" s="2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3"/>
      <c r="Q50" s="24"/>
      <c r="R50" s="4"/>
      <c r="S50" s="4"/>
      <c r="T50" s="4"/>
      <c r="U50" s="4"/>
      <c r="V50" s="4"/>
    </row>
    <row r="51" ht="12.75" customHeight="1">
      <c r="A51" s="21" t="s">
        <v>58</v>
      </c>
      <c r="B51" s="2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3">
        <f t="shared" ref="P51:P52" si="11">SUM(C51:N51)</f>
        <v>0</v>
      </c>
      <c r="Q51" s="24" t="str">
        <f t="shared" ref="Q51:Q52" si="12">P51/$P$33</f>
        <v>#REF!</v>
      </c>
      <c r="R51" s="4"/>
      <c r="S51" s="4"/>
      <c r="T51" s="4"/>
      <c r="U51" s="4"/>
      <c r="V51" s="4"/>
    </row>
    <row r="52" ht="12.75" customHeight="1">
      <c r="A52" s="21" t="s">
        <v>59</v>
      </c>
      <c r="B52" s="2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3">
        <f t="shared" si="11"/>
        <v>0</v>
      </c>
      <c r="Q52" s="24" t="str">
        <f t="shared" si="12"/>
        <v>#REF!</v>
      </c>
      <c r="R52" s="4"/>
      <c r="S52" s="4"/>
      <c r="T52" s="4"/>
      <c r="U52" s="4"/>
      <c r="V52" s="4"/>
    </row>
    <row r="53" ht="12.75" customHeight="1">
      <c r="A53" s="21" t="s">
        <v>60</v>
      </c>
      <c r="B53" s="26"/>
      <c r="C53" s="122">
        <v>800.0</v>
      </c>
      <c r="D53" s="122">
        <v>800.0</v>
      </c>
      <c r="E53" s="122">
        <v>800.0</v>
      </c>
      <c r="F53" s="122">
        <v>800.0</v>
      </c>
      <c r="G53" s="122">
        <v>800.0</v>
      </c>
      <c r="H53" s="122">
        <v>800.0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800.0</v>
      </c>
      <c r="P53" s="13"/>
      <c r="Q53" s="24"/>
      <c r="R53" s="4"/>
      <c r="S53" s="4"/>
      <c r="T53" s="4"/>
      <c r="U53" s="4"/>
      <c r="V53" s="4"/>
    </row>
    <row r="54" ht="12.75" customHeight="1">
      <c r="A54" s="21" t="s">
        <v>61</v>
      </c>
      <c r="B54" s="26"/>
      <c r="C54" s="122">
        <v>600.0</v>
      </c>
      <c r="D54" s="122">
        <v>600.0</v>
      </c>
      <c r="E54" s="122">
        <v>600.0</v>
      </c>
      <c r="F54" s="122">
        <v>600.0</v>
      </c>
      <c r="G54" s="122">
        <v>600.0</v>
      </c>
      <c r="H54" s="122">
        <v>600.0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600.0</v>
      </c>
      <c r="P54" s="13"/>
      <c r="Q54" s="24"/>
      <c r="R54" s="4"/>
      <c r="S54" s="4"/>
      <c r="T54" s="4"/>
      <c r="U54" s="4"/>
      <c r="V54" s="4"/>
    </row>
    <row r="55" ht="14.25" customHeight="1">
      <c r="A55" s="54" t="s">
        <v>142</v>
      </c>
      <c r="B55" s="26"/>
      <c r="C55" s="122">
        <v>230.0</v>
      </c>
      <c r="D55" s="122">
        <v>230.0</v>
      </c>
      <c r="E55" s="122">
        <v>230.0</v>
      </c>
      <c r="F55" s="122">
        <v>230.0</v>
      </c>
      <c r="G55" s="122">
        <v>230.0</v>
      </c>
      <c r="H55" s="122">
        <v>230.0</v>
      </c>
      <c r="I55" s="4"/>
      <c r="J55" s="4"/>
      <c r="K55" s="4"/>
      <c r="L55" s="4"/>
      <c r="M55" s="4"/>
      <c r="N55" s="4"/>
      <c r="O55" s="4"/>
      <c r="P55" s="13">
        <f t="shared" ref="P55:P56" si="13">SUM(C55:N55)</f>
        <v>1380</v>
      </c>
      <c r="Q55" s="24" t="str">
        <f t="shared" ref="Q55:Q56" si="14">P55/$P$33</f>
        <v>#REF!</v>
      </c>
      <c r="R55" s="4"/>
      <c r="S55" s="4"/>
      <c r="T55" s="4"/>
      <c r="U55" s="4"/>
      <c r="V55" s="4"/>
    </row>
    <row r="56" ht="14.25" customHeight="1">
      <c r="A56" s="21" t="s">
        <v>63</v>
      </c>
      <c r="B56" s="2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3">
        <f t="shared" si="13"/>
        <v>0</v>
      </c>
      <c r="Q56" s="24" t="str">
        <f t="shared" si="14"/>
        <v>#REF!</v>
      </c>
      <c r="R56" s="4"/>
      <c r="S56" s="4"/>
      <c r="T56" s="4"/>
      <c r="U56" s="4"/>
      <c r="V56" s="4"/>
    </row>
    <row r="57" ht="14.25" customHeight="1">
      <c r="A57" s="54" t="s">
        <v>64</v>
      </c>
      <c r="B57" s="2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3"/>
      <c r="Q57" s="24"/>
      <c r="R57" s="4"/>
      <c r="S57" s="4"/>
      <c r="T57" s="4"/>
      <c r="U57" s="4"/>
      <c r="V57" s="4"/>
    </row>
    <row r="58" ht="12.75" customHeight="1">
      <c r="A58" s="55" t="s">
        <v>143</v>
      </c>
      <c r="B58" s="2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3">
        <f t="shared" ref="P58:P61" si="15">SUM(C58:N58)</f>
        <v>0</v>
      </c>
      <c r="Q58" s="24" t="str">
        <f t="shared" ref="Q58:Q61" si="16">P58/$P$33</f>
        <v>#REF!</v>
      </c>
      <c r="R58" s="4"/>
      <c r="S58" s="4"/>
      <c r="T58" s="4"/>
      <c r="U58" s="4"/>
      <c r="V58" s="4"/>
    </row>
    <row r="59" ht="14.25" customHeight="1">
      <c r="A59" s="56" t="s">
        <v>66</v>
      </c>
      <c r="B59" s="26"/>
      <c r="C59" s="122">
        <v>460.0</v>
      </c>
      <c r="D59" s="122">
        <v>460.0</v>
      </c>
      <c r="E59" s="122">
        <v>561.6</v>
      </c>
      <c r="F59" s="122">
        <v>500.0</v>
      </c>
      <c r="G59" s="122">
        <v>500.0</v>
      </c>
      <c r="H59" s="122">
        <v>500.0</v>
      </c>
      <c r="I59" s="122">
        <v>300.0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13">
        <f t="shared" si="15"/>
        <v>3281.6</v>
      </c>
      <c r="Q59" s="24" t="str">
        <f t="shared" si="16"/>
        <v>#REF!</v>
      </c>
      <c r="R59" s="4"/>
      <c r="S59" s="4"/>
      <c r="T59" s="4"/>
      <c r="U59" s="4"/>
      <c r="V59" s="4"/>
    </row>
    <row r="60" ht="14.25" customHeight="1">
      <c r="A60" s="21" t="s">
        <v>67</v>
      </c>
      <c r="B60" s="26"/>
      <c r="C60" s="4">
        <v>0.0</v>
      </c>
      <c r="D60" s="4">
        <v>0.0</v>
      </c>
      <c r="E60" s="122">
        <v>1400.0</v>
      </c>
      <c r="F60" s="122">
        <v>0.0</v>
      </c>
      <c r="G60" s="122">
        <v>800.0</v>
      </c>
      <c r="H60" s="122">
        <v>100.0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13">
        <f t="shared" si="15"/>
        <v>2300</v>
      </c>
      <c r="Q60" s="24" t="str">
        <f t="shared" si="16"/>
        <v>#REF!</v>
      </c>
      <c r="R60" s="4"/>
      <c r="S60" s="4"/>
      <c r="T60" s="4"/>
      <c r="U60" s="4"/>
      <c r="V60" s="4"/>
    </row>
    <row r="61" ht="12.75" customHeight="1">
      <c r="A61" s="21" t="s">
        <v>68</v>
      </c>
      <c r="B61" s="2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3">
        <f t="shared" si="15"/>
        <v>0</v>
      </c>
      <c r="Q61" s="24" t="str">
        <f t="shared" si="16"/>
        <v>#REF!</v>
      </c>
      <c r="R61" s="4"/>
      <c r="S61" s="4"/>
      <c r="T61" s="4"/>
      <c r="U61" s="4"/>
      <c r="V61" s="4"/>
    </row>
    <row r="62" ht="12.75" customHeight="1">
      <c r="A62" s="21" t="s">
        <v>69</v>
      </c>
      <c r="B62" s="26"/>
      <c r="C62" s="122">
        <v>1000.0</v>
      </c>
      <c r="D62" s="122">
        <v>1000.0</v>
      </c>
      <c r="E62" s="122">
        <v>1000.0</v>
      </c>
      <c r="F62" s="122">
        <v>1000.0</v>
      </c>
      <c r="G62" s="122">
        <v>1000.0</v>
      </c>
      <c r="H62" s="122">
        <v>1000.0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13"/>
      <c r="Q62" s="24"/>
      <c r="R62" s="4"/>
      <c r="S62" s="4"/>
      <c r="T62" s="4"/>
      <c r="U62" s="4"/>
      <c r="V62" s="4"/>
    </row>
    <row r="63" ht="12.75" customHeight="1">
      <c r="A63" s="56" t="s">
        <v>70</v>
      </c>
      <c r="B63" s="2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3">
        <f t="shared" ref="P63:P66" si="17">SUM(C63:N63)</f>
        <v>0</v>
      </c>
      <c r="Q63" s="24" t="str">
        <f t="shared" ref="Q63:Q66" si="18">P63/$P$33</f>
        <v>#REF!</v>
      </c>
      <c r="R63" s="4"/>
      <c r="S63" s="4"/>
      <c r="T63" s="4"/>
      <c r="U63" s="4"/>
      <c r="V63" s="4"/>
    </row>
    <row r="64" ht="12.75" customHeight="1">
      <c r="A64" s="56" t="s">
        <v>71</v>
      </c>
      <c r="B64" s="26"/>
      <c r="C64" s="4">
        <v>0.0</v>
      </c>
      <c r="D64" s="4">
        <v>0.0</v>
      </c>
      <c r="E64" s="122">
        <v>500.0</v>
      </c>
      <c r="F64" s="122">
        <v>400.0</v>
      </c>
      <c r="G64" s="122">
        <v>380.0</v>
      </c>
      <c r="H64" s="122">
        <v>320.0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13">
        <f t="shared" si="17"/>
        <v>1600</v>
      </c>
      <c r="Q64" s="24" t="str">
        <f t="shared" si="18"/>
        <v>#REF!</v>
      </c>
      <c r="R64" s="4"/>
      <c r="S64" s="4"/>
      <c r="T64" s="4"/>
      <c r="U64" s="4"/>
      <c r="V64" s="4"/>
    </row>
    <row r="65" ht="12.75" customHeight="1">
      <c r="A65" s="56" t="s">
        <v>72</v>
      </c>
      <c r="B65" s="2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3">
        <f t="shared" si="17"/>
        <v>0</v>
      </c>
      <c r="Q65" s="24" t="str">
        <f t="shared" si="18"/>
        <v>#REF!</v>
      </c>
      <c r="R65" s="4"/>
      <c r="S65" s="4"/>
      <c r="T65" s="4"/>
      <c r="U65" s="4"/>
      <c r="V65" s="4"/>
    </row>
    <row r="66" ht="12.75" customHeight="1">
      <c r="A66" s="21" t="s">
        <v>144</v>
      </c>
      <c r="B66" s="2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3">
        <f t="shared" si="17"/>
        <v>0</v>
      </c>
      <c r="Q66" s="24" t="str">
        <f t="shared" si="18"/>
        <v>#REF!</v>
      </c>
      <c r="R66" s="4"/>
      <c r="S66" s="4"/>
      <c r="T66" s="4"/>
      <c r="U66" s="4"/>
      <c r="V66" s="4"/>
    </row>
    <row r="67" ht="12.75" customHeight="1">
      <c r="A67" s="21" t="s">
        <v>74</v>
      </c>
      <c r="B67" s="2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3"/>
      <c r="Q67" s="24"/>
      <c r="R67" s="4"/>
      <c r="S67" s="4"/>
      <c r="T67" s="4"/>
      <c r="U67" s="4"/>
      <c r="V67" s="4"/>
    </row>
    <row r="68" ht="12.75" customHeight="1">
      <c r="A68" s="21" t="s">
        <v>75</v>
      </c>
      <c r="B68" s="26"/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122"/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13">
        <f t="shared" ref="P68:P72" si="19">SUM(C68:N68)</f>
        <v>0</v>
      </c>
      <c r="Q68" s="24" t="str">
        <f t="shared" ref="Q68:Q72" si="20">P68/$P$33</f>
        <v>#REF!</v>
      </c>
      <c r="R68" s="4"/>
      <c r="S68" s="4"/>
      <c r="T68" s="4"/>
      <c r="U68" s="4"/>
      <c r="V68" s="4"/>
    </row>
    <row r="69" ht="12.75" customHeight="1">
      <c r="A69" s="56" t="s">
        <v>76</v>
      </c>
      <c r="B69" s="26"/>
      <c r="C69" s="4"/>
      <c r="D69" s="122">
        <v>595.0</v>
      </c>
      <c r="E69" s="4"/>
      <c r="F69" s="4"/>
      <c r="G69" s="4"/>
      <c r="H69" s="122">
        <v>900.0</v>
      </c>
      <c r="I69" s="122">
        <v>520.0</v>
      </c>
      <c r="J69" s="4"/>
      <c r="K69" s="4"/>
      <c r="L69" s="4"/>
      <c r="M69" s="4"/>
      <c r="N69" s="4"/>
      <c r="O69" s="4"/>
      <c r="P69" s="13">
        <f t="shared" si="19"/>
        <v>2015</v>
      </c>
      <c r="Q69" s="24" t="str">
        <f t="shared" si="20"/>
        <v>#REF!</v>
      </c>
      <c r="R69" s="4"/>
      <c r="S69" s="4"/>
      <c r="T69" s="4"/>
      <c r="U69" s="4"/>
      <c r="V69" s="4"/>
    </row>
    <row r="70" ht="12.75" customHeight="1">
      <c r="A70" s="21" t="s">
        <v>77</v>
      </c>
      <c r="B70" s="26"/>
      <c r="C70" s="4"/>
      <c r="D70" s="4"/>
      <c r="E70" s="122"/>
      <c r="F70" s="4"/>
      <c r="G70" s="4"/>
      <c r="H70" s="4"/>
      <c r="I70" s="4"/>
      <c r="J70" s="4"/>
      <c r="K70" s="4"/>
      <c r="L70" s="4"/>
      <c r="M70" s="4"/>
      <c r="N70" s="4"/>
      <c r="O70" s="4"/>
      <c r="P70" s="13">
        <f t="shared" si="19"/>
        <v>0</v>
      </c>
      <c r="Q70" s="24" t="str">
        <f t="shared" si="20"/>
        <v>#REF!</v>
      </c>
      <c r="R70" s="4"/>
      <c r="S70" s="4"/>
      <c r="T70" s="4"/>
      <c r="U70" s="4"/>
      <c r="V70" s="4"/>
    </row>
    <row r="71" ht="12.75" customHeight="1">
      <c r="A71" s="21" t="s">
        <v>78</v>
      </c>
      <c r="B71" s="26"/>
      <c r="C71" s="4">
        <v>0.0</v>
      </c>
      <c r="D71" s="4">
        <v>0.0</v>
      </c>
      <c r="E71" s="122">
        <v>400.0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13">
        <f t="shared" si="19"/>
        <v>400</v>
      </c>
      <c r="Q71" s="24" t="str">
        <f t="shared" si="20"/>
        <v>#REF!</v>
      </c>
      <c r="R71" s="4"/>
      <c r="S71" s="4"/>
      <c r="T71" s="4"/>
      <c r="U71" s="4"/>
      <c r="V71" s="4"/>
    </row>
    <row r="72" ht="15.0" customHeight="1">
      <c r="A72" s="21" t="s">
        <v>145</v>
      </c>
      <c r="B72" s="26"/>
      <c r="C72" s="4">
        <v>0.0</v>
      </c>
      <c r="D72" s="122">
        <v>3845.0</v>
      </c>
      <c r="E72" s="4">
        <v>0.0</v>
      </c>
      <c r="F72" s="122"/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13">
        <f t="shared" si="19"/>
        <v>3845</v>
      </c>
      <c r="Q72" s="24" t="str">
        <f t="shared" si="20"/>
        <v>#REF!</v>
      </c>
      <c r="R72" s="4"/>
      <c r="S72" s="4"/>
      <c r="T72" s="4"/>
      <c r="U72" s="4"/>
      <c r="V72" s="4"/>
    </row>
    <row r="73" ht="15.0" customHeight="1">
      <c r="A73" s="4"/>
      <c r="B73" s="2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3"/>
      <c r="Q73" s="24"/>
      <c r="R73" s="4"/>
      <c r="S73" s="4"/>
      <c r="T73" s="4"/>
      <c r="U73" s="4"/>
      <c r="V73" s="4"/>
    </row>
    <row r="74" ht="12.75" customHeight="1">
      <c r="A74" s="4"/>
      <c r="B74" s="2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3">
        <f>SUM(C74:N74)</f>
        <v>0</v>
      </c>
      <c r="Q74" s="24" t="str">
        <f>P74/$P$33</f>
        <v>#REF!</v>
      </c>
      <c r="R74" s="4"/>
      <c r="S74" s="4"/>
      <c r="T74" s="4"/>
      <c r="U74" s="4"/>
      <c r="V74" s="4"/>
    </row>
    <row r="75" ht="12.75" customHeight="1">
      <c r="A75" s="57" t="s">
        <v>80</v>
      </c>
      <c r="B75" s="58">
        <f>SUM(B41:B74)</f>
        <v>0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9"/>
      <c r="Q75" s="60"/>
      <c r="R75" s="4"/>
      <c r="S75" s="4"/>
      <c r="T75" s="4"/>
      <c r="U75" s="4"/>
      <c r="V75" s="4"/>
    </row>
    <row r="76" ht="12.75" customHeight="1">
      <c r="A76" s="61" t="s">
        <v>81</v>
      </c>
      <c r="B76" s="62"/>
      <c r="C76" s="63">
        <f t="shared" ref="C76:P76" si="21">SUM(C40:C74)</f>
        <v>5390</v>
      </c>
      <c r="D76" s="63">
        <f t="shared" si="21"/>
        <v>9830</v>
      </c>
      <c r="E76" s="63">
        <f t="shared" si="21"/>
        <v>7791.6</v>
      </c>
      <c r="F76" s="63">
        <f t="shared" si="21"/>
        <v>5830</v>
      </c>
      <c r="G76" s="63">
        <f t="shared" si="21"/>
        <v>7230</v>
      </c>
      <c r="H76" s="63">
        <f t="shared" si="21"/>
        <v>7190</v>
      </c>
      <c r="I76" s="63">
        <f t="shared" si="21"/>
        <v>820</v>
      </c>
      <c r="J76" s="63">
        <f t="shared" si="21"/>
        <v>0</v>
      </c>
      <c r="K76" s="63">
        <f t="shared" si="21"/>
        <v>0</v>
      </c>
      <c r="L76" s="63">
        <f t="shared" si="21"/>
        <v>0</v>
      </c>
      <c r="M76" s="63">
        <f t="shared" si="21"/>
        <v>800</v>
      </c>
      <c r="N76" s="63">
        <f t="shared" si="21"/>
        <v>800</v>
      </c>
      <c r="O76" s="63">
        <f t="shared" si="21"/>
        <v>2200</v>
      </c>
      <c r="P76" s="63">
        <f t="shared" si="21"/>
        <v>22281.6</v>
      </c>
      <c r="Q76" s="64" t="str">
        <f>P76/$P$33</f>
        <v>#REF!</v>
      </c>
      <c r="R76" s="4"/>
      <c r="S76" s="4"/>
      <c r="T76" s="4"/>
      <c r="U76" s="4"/>
      <c r="V76" s="4"/>
    </row>
    <row r="77" ht="12.75" customHeight="1">
      <c r="A77" s="6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4"/>
      <c r="S77" s="4"/>
      <c r="T77" s="4"/>
      <c r="U77" s="4"/>
      <c r="V77" s="4"/>
    </row>
    <row r="78" ht="12.75" customHeight="1">
      <c r="A78" s="34" t="s">
        <v>82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7"/>
      <c r="Q78" s="68"/>
      <c r="R78" s="4"/>
      <c r="S78" s="4"/>
      <c r="T78" s="4"/>
      <c r="U78" s="4"/>
      <c r="V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24"/>
      <c r="R79" s="4"/>
      <c r="S79" s="4"/>
      <c r="T79" s="4"/>
      <c r="U79" s="4"/>
      <c r="V79" s="4"/>
    </row>
    <row r="80" ht="12.75" customHeight="1">
      <c r="A80" s="57" t="s">
        <v>83</v>
      </c>
      <c r="B80" s="13">
        <f>cashflow!R88</f>
        <v>3253.88</v>
      </c>
      <c r="C80" s="13">
        <f t="shared" ref="C80:P80" si="22">C33</f>
        <v>6500</v>
      </c>
      <c r="D80" s="13">
        <f t="shared" si="22"/>
        <v>7900</v>
      </c>
      <c r="E80" s="13">
        <f t="shared" si="22"/>
        <v>7850</v>
      </c>
      <c r="F80" s="13">
        <f t="shared" si="22"/>
        <v>6500</v>
      </c>
      <c r="G80" s="13">
        <f t="shared" si="22"/>
        <v>8500</v>
      </c>
      <c r="H80" s="13">
        <f t="shared" si="22"/>
        <v>11050</v>
      </c>
      <c r="I80" s="13" t="str">
        <f t="shared" si="22"/>
        <v>#REF!</v>
      </c>
      <c r="J80" s="13" t="str">
        <f t="shared" si="22"/>
        <v>#REF!</v>
      </c>
      <c r="K80" s="13" t="str">
        <f t="shared" si="22"/>
        <v>#REF!</v>
      </c>
      <c r="L80" s="13" t="str">
        <f t="shared" si="22"/>
        <v>#REF!</v>
      </c>
      <c r="M80" s="13" t="str">
        <f t="shared" si="22"/>
        <v>#REF!</v>
      </c>
      <c r="N80" s="13" t="str">
        <f t="shared" si="22"/>
        <v>#REF!</v>
      </c>
      <c r="O80" s="13" t="str">
        <f t="shared" si="22"/>
        <v>#REF!</v>
      </c>
      <c r="P80" s="13" t="str">
        <f t="shared" si="22"/>
        <v>#REF!</v>
      </c>
      <c r="Q80" s="69" t="str">
        <f t="shared" ref="Q80:Q82" si="24">P80/$P$33</f>
        <v>#REF!</v>
      </c>
      <c r="R80" s="4"/>
      <c r="S80" s="4"/>
      <c r="T80" s="4"/>
      <c r="U80" s="4"/>
      <c r="V80" s="4"/>
    </row>
    <row r="81" ht="12.75" customHeight="1">
      <c r="A81" s="57" t="s">
        <v>84</v>
      </c>
      <c r="B81" s="13">
        <f>B75</f>
        <v>0</v>
      </c>
      <c r="C81" s="13">
        <f t="shared" ref="C81:P81" si="23">C76</f>
        <v>5390</v>
      </c>
      <c r="D81" s="13">
        <f t="shared" si="23"/>
        <v>9830</v>
      </c>
      <c r="E81" s="13">
        <f t="shared" si="23"/>
        <v>7791.6</v>
      </c>
      <c r="F81" s="13">
        <f t="shared" si="23"/>
        <v>5830</v>
      </c>
      <c r="G81" s="13">
        <f t="shared" si="23"/>
        <v>7230</v>
      </c>
      <c r="H81" s="13">
        <f t="shared" si="23"/>
        <v>7190</v>
      </c>
      <c r="I81" s="13">
        <f t="shared" si="23"/>
        <v>820</v>
      </c>
      <c r="J81" s="13">
        <f t="shared" si="23"/>
        <v>0</v>
      </c>
      <c r="K81" s="13">
        <f t="shared" si="23"/>
        <v>0</v>
      </c>
      <c r="L81" s="13">
        <f t="shared" si="23"/>
        <v>0</v>
      </c>
      <c r="M81" s="13">
        <f t="shared" si="23"/>
        <v>800</v>
      </c>
      <c r="N81" s="13">
        <f t="shared" si="23"/>
        <v>800</v>
      </c>
      <c r="O81" s="13">
        <f t="shared" si="23"/>
        <v>2200</v>
      </c>
      <c r="P81" s="13">
        <f t="shared" si="23"/>
        <v>22281.6</v>
      </c>
      <c r="Q81" s="69" t="str">
        <f t="shared" si="24"/>
        <v>#REF!</v>
      </c>
      <c r="R81" s="4"/>
      <c r="S81" s="4"/>
      <c r="T81" s="4"/>
      <c r="U81" s="4"/>
      <c r="V81" s="4"/>
    </row>
    <row r="82" ht="12.75" customHeight="1">
      <c r="A82" s="57" t="s">
        <v>85</v>
      </c>
      <c r="B82" s="70">
        <f t="shared" ref="B82:P82" si="25">B80-B81</f>
        <v>3253.88</v>
      </c>
      <c r="C82" s="70">
        <f t="shared" si="25"/>
        <v>1110</v>
      </c>
      <c r="D82" s="70">
        <f t="shared" si="25"/>
        <v>-1930</v>
      </c>
      <c r="E82" s="70">
        <f t="shared" si="25"/>
        <v>58.4</v>
      </c>
      <c r="F82" s="70">
        <f t="shared" si="25"/>
        <v>670</v>
      </c>
      <c r="G82" s="70">
        <f t="shared" si="25"/>
        <v>1270</v>
      </c>
      <c r="H82" s="70">
        <f t="shared" si="25"/>
        <v>3860</v>
      </c>
      <c r="I82" s="70" t="str">
        <f t="shared" si="25"/>
        <v>#REF!</v>
      </c>
      <c r="J82" s="70" t="str">
        <f t="shared" si="25"/>
        <v>#REF!</v>
      </c>
      <c r="K82" s="70" t="str">
        <f t="shared" si="25"/>
        <v>#REF!</v>
      </c>
      <c r="L82" s="70" t="str">
        <f t="shared" si="25"/>
        <v>#REF!</v>
      </c>
      <c r="M82" s="70" t="str">
        <f t="shared" si="25"/>
        <v>#REF!</v>
      </c>
      <c r="N82" s="70" t="str">
        <f t="shared" si="25"/>
        <v>#REF!</v>
      </c>
      <c r="O82" s="70" t="str">
        <f t="shared" si="25"/>
        <v>#REF!</v>
      </c>
      <c r="P82" s="70" t="str">
        <f t="shared" si="25"/>
        <v>#REF!</v>
      </c>
      <c r="Q82" s="71" t="str">
        <f t="shared" si="24"/>
        <v>#REF!</v>
      </c>
      <c r="R82" s="4"/>
      <c r="S82" s="4"/>
      <c r="T82" s="4"/>
      <c r="U82" s="4"/>
      <c r="V82" s="4"/>
    </row>
    <row r="83" ht="12.75" customHeight="1">
      <c r="A83" s="57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1"/>
      <c r="R83" s="4"/>
      <c r="S83" s="4"/>
      <c r="T83" s="4"/>
      <c r="U83" s="4"/>
      <c r="V83" s="4"/>
    </row>
    <row r="84" ht="12.75" customHeight="1">
      <c r="A84" s="57" t="s">
        <v>86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13">
        <f>SUM(C84:N84)</f>
        <v>0</v>
      </c>
      <c r="Q84" s="71"/>
      <c r="R84" s="4"/>
      <c r="S84" s="4"/>
      <c r="T84" s="4"/>
      <c r="U84" s="4"/>
      <c r="V84" s="4"/>
    </row>
    <row r="85" ht="12.75" customHeight="1">
      <c r="A85" s="2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24"/>
      <c r="R85" s="4"/>
      <c r="S85" s="4"/>
      <c r="T85" s="4"/>
      <c r="U85" s="4"/>
      <c r="V85" s="4"/>
    </row>
    <row r="86" ht="12.75" customHeight="1">
      <c r="A86" s="57" t="s">
        <v>87</v>
      </c>
      <c r="B86" s="13"/>
      <c r="C86" s="72">
        <f t="shared" ref="C86:N86" si="26">B88</f>
        <v>3253.88</v>
      </c>
      <c r="D86" s="72">
        <f t="shared" si="26"/>
        <v>4363.88</v>
      </c>
      <c r="E86" s="72">
        <f t="shared" si="26"/>
        <v>2433.88</v>
      </c>
      <c r="F86" s="72">
        <f t="shared" si="26"/>
        <v>2492.28</v>
      </c>
      <c r="G86" s="72">
        <f t="shared" si="26"/>
        <v>3162.28</v>
      </c>
      <c r="H86" s="72">
        <f t="shared" si="26"/>
        <v>4432.28</v>
      </c>
      <c r="I86" s="72">
        <f t="shared" si="26"/>
        <v>8292.28</v>
      </c>
      <c r="J86" s="72" t="str">
        <f t="shared" si="26"/>
        <v>#REF!</v>
      </c>
      <c r="K86" s="72" t="str">
        <f t="shared" si="26"/>
        <v>#REF!</v>
      </c>
      <c r="L86" s="72" t="str">
        <f t="shared" si="26"/>
        <v>#REF!</v>
      </c>
      <c r="M86" s="72" t="str">
        <f t="shared" si="26"/>
        <v>#REF!</v>
      </c>
      <c r="N86" s="72" t="str">
        <f t="shared" si="26"/>
        <v>#REF!</v>
      </c>
      <c r="O86" s="72" t="str">
        <f>#REF!</f>
        <v>#REF!</v>
      </c>
      <c r="P86" s="13"/>
      <c r="Q86" s="24"/>
      <c r="R86" s="4"/>
      <c r="S86" s="4"/>
      <c r="T86" s="4"/>
      <c r="U86" s="4"/>
      <c r="V86" s="4"/>
    </row>
    <row r="87" ht="12.75" customHeight="1">
      <c r="A87" s="5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3"/>
      <c r="Q87" s="24"/>
      <c r="R87" s="4"/>
      <c r="S87" s="4"/>
      <c r="T87" s="4"/>
      <c r="U87" s="4"/>
      <c r="V87" s="4"/>
    </row>
    <row r="88" ht="12.75" customHeight="1">
      <c r="A88" s="73" t="s">
        <v>88</v>
      </c>
      <c r="B88" s="63">
        <f t="shared" ref="B88:O88" si="27">B82-B84+B86</f>
        <v>3253.88</v>
      </c>
      <c r="C88" s="63">
        <f t="shared" si="27"/>
        <v>4363.88</v>
      </c>
      <c r="D88" s="63">
        <f t="shared" si="27"/>
        <v>2433.88</v>
      </c>
      <c r="E88" s="63">
        <f t="shared" si="27"/>
        <v>2492.28</v>
      </c>
      <c r="F88" s="63">
        <f t="shared" si="27"/>
        <v>3162.28</v>
      </c>
      <c r="G88" s="63">
        <f t="shared" si="27"/>
        <v>4432.28</v>
      </c>
      <c r="H88" s="63">
        <f t="shared" si="27"/>
        <v>8292.28</v>
      </c>
      <c r="I88" s="63" t="str">
        <f t="shared" si="27"/>
        <v>#REF!</v>
      </c>
      <c r="J88" s="63" t="str">
        <f t="shared" si="27"/>
        <v>#REF!</v>
      </c>
      <c r="K88" s="63" t="str">
        <f t="shared" si="27"/>
        <v>#REF!</v>
      </c>
      <c r="L88" s="63" t="str">
        <f t="shared" si="27"/>
        <v>#REF!</v>
      </c>
      <c r="M88" s="63" t="str">
        <f t="shared" si="27"/>
        <v>#REF!</v>
      </c>
      <c r="N88" s="63" t="str">
        <f t="shared" si="27"/>
        <v>#REF!</v>
      </c>
      <c r="O88" s="63" t="str">
        <f t="shared" si="27"/>
        <v>#REF!</v>
      </c>
      <c r="P88" s="63"/>
      <c r="Q88" s="74"/>
      <c r="R88" s="4"/>
      <c r="S88" s="4"/>
      <c r="T88" s="4"/>
      <c r="U88" s="4"/>
      <c r="V88" s="4"/>
    </row>
    <row r="89" ht="12.75" customHeight="1">
      <c r="A89" s="70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4"/>
      <c r="S89" s="4"/>
      <c r="T89" s="4"/>
      <c r="U89" s="4"/>
      <c r="V89" s="4"/>
      <c r="W89" s="4"/>
      <c r="X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 gridLines="1"/>
  <pageMargins bottom="0.5" footer="0.0" header="0.0" left="0.5" right="0.5" top="0.75"/>
  <pageSetup orientation="landscape"/>
  <headerFooter>
    <oddHeader>&amp;CThis spreadsheet can be downloaded from the Community Facilities Fund section of Self-Help's web site at http:\\www.self-help.org</oddHeader>
  </headerFooter>
  <rowBreaks count="1" manualBreakCount="1">
    <brk id="3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75"/>
    <col customWidth="1" min="2" max="3" width="15.13"/>
    <col customWidth="1" min="4" max="5" width="20.13"/>
    <col customWidth="1" min="6" max="6" width="15.13"/>
  </cols>
  <sheetData>
    <row r="1" ht="22.5" customHeight="1">
      <c r="A1" s="125" t="s">
        <v>146</v>
      </c>
      <c r="B1" s="125" t="s">
        <v>147</v>
      </c>
      <c r="C1" s="125" t="s">
        <v>148</v>
      </c>
      <c r="D1" s="125" t="s">
        <v>149</v>
      </c>
      <c r="E1" s="125" t="s">
        <v>150</v>
      </c>
      <c r="F1" s="125" t="s">
        <v>151</v>
      </c>
    </row>
    <row r="2" ht="22.5" customHeight="1">
      <c r="A2" s="126" t="s">
        <v>152</v>
      </c>
      <c r="B2" s="127" t="s">
        <v>153</v>
      </c>
      <c r="C2" s="128" t="s">
        <v>154</v>
      </c>
      <c r="D2" s="129"/>
      <c r="E2" s="129"/>
      <c r="F2" s="130"/>
    </row>
    <row r="3" ht="22.5" customHeight="1">
      <c r="A3" s="126" t="s">
        <v>155</v>
      </c>
      <c r="B3" s="127" t="s">
        <v>153</v>
      </c>
      <c r="C3" s="127" t="s">
        <v>154</v>
      </c>
      <c r="D3" s="129"/>
      <c r="E3" s="129"/>
      <c r="F3" s="130"/>
    </row>
    <row r="4" ht="22.5" customHeight="1">
      <c r="A4" s="126" t="s">
        <v>156</v>
      </c>
      <c r="B4" s="127" t="s">
        <v>153</v>
      </c>
      <c r="C4" s="127" t="s">
        <v>154</v>
      </c>
      <c r="D4" s="129"/>
      <c r="E4" s="129"/>
      <c r="F4" s="130"/>
    </row>
    <row r="5" ht="22.5" customHeight="1">
      <c r="A5" s="126" t="s">
        <v>157</v>
      </c>
      <c r="B5" s="128" t="s">
        <v>153</v>
      </c>
      <c r="C5" s="127" t="s">
        <v>154</v>
      </c>
      <c r="D5" s="129"/>
      <c r="E5" s="129"/>
      <c r="F5" s="130"/>
    </row>
    <row r="6" ht="22.5" customHeight="1">
      <c r="A6" s="126" t="s">
        <v>158</v>
      </c>
      <c r="B6" s="127" t="s">
        <v>159</v>
      </c>
      <c r="C6" s="131"/>
      <c r="D6" s="129"/>
      <c r="E6" s="129"/>
      <c r="F6" s="130"/>
    </row>
    <row r="7" ht="22.5" customHeight="1">
      <c r="A7" s="126" t="s">
        <v>160</v>
      </c>
      <c r="B7" s="127" t="s">
        <v>153</v>
      </c>
      <c r="C7" s="131"/>
      <c r="D7" s="129"/>
      <c r="E7" s="129"/>
      <c r="F7" s="130"/>
    </row>
    <row r="8" ht="22.5" customHeight="1">
      <c r="A8" s="130"/>
      <c r="B8" s="131"/>
      <c r="C8" s="131"/>
      <c r="D8" s="129"/>
      <c r="E8" s="129"/>
      <c r="F8" s="130"/>
    </row>
    <row r="9" ht="22.5" customHeight="1">
      <c r="A9" s="130"/>
      <c r="B9" s="131"/>
      <c r="C9" s="131"/>
      <c r="D9" s="129"/>
      <c r="E9" s="129"/>
      <c r="F9" s="130"/>
    </row>
    <row r="10" ht="22.5" customHeight="1">
      <c r="A10" s="130"/>
      <c r="B10" s="131"/>
      <c r="C10" s="131"/>
      <c r="D10" s="129"/>
      <c r="E10" s="129"/>
      <c r="F10" s="130"/>
    </row>
    <row r="11" ht="22.5" customHeight="1">
      <c r="A11" s="130"/>
      <c r="B11" s="131"/>
      <c r="C11" s="131"/>
      <c r="D11" s="129"/>
      <c r="E11" s="129"/>
      <c r="F11" s="130"/>
    </row>
    <row r="12" ht="22.5" customHeight="1">
      <c r="A12" s="130"/>
      <c r="B12" s="131"/>
      <c r="C12" s="131"/>
      <c r="D12" s="129"/>
      <c r="E12" s="129"/>
      <c r="F12" s="130"/>
    </row>
    <row r="13" ht="22.5" customHeight="1">
      <c r="A13" s="130"/>
      <c r="B13" s="131"/>
      <c r="C13" s="131"/>
      <c r="D13" s="129"/>
      <c r="E13" s="129"/>
      <c r="F13" s="130"/>
    </row>
    <row r="14" ht="22.5" customHeight="1">
      <c r="A14" s="130"/>
      <c r="B14" s="131"/>
      <c r="C14" s="131"/>
      <c r="D14" s="129"/>
      <c r="E14" s="129"/>
      <c r="F14" s="130"/>
    </row>
    <row r="15" ht="22.5" customHeight="1">
      <c r="A15" s="130"/>
      <c r="B15" s="131"/>
      <c r="C15" s="131"/>
      <c r="D15" s="129"/>
      <c r="E15" s="129"/>
      <c r="F15" s="130"/>
    </row>
  </sheetData>
  <dataValidations>
    <dataValidation type="custom" allowBlank="1" showDropDown="1" sqref="D2:E15">
      <formula1>OR(NOT(ISERROR(DATEVALUE(D2))), AND(ISNUMBER(D2), LEFT(CELL("format", D2))="D"))</formula1>
    </dataValidation>
    <dataValidation allowBlank="1" showDropDown="1" sqref="A2:A15 F2:F15"/>
    <dataValidation type="list" allowBlank="1" sqref="B2:B15">
      <formula1>"P0,P1,P2,P3"</formula1>
    </dataValidation>
    <dataValidation type="list" allowBlank="1" sqref="C2:C15">
      <formula1>"Not started,In progress,Blocked,Completed"</formula1>
    </dataValidation>
  </dataValidations>
  <drawing r:id="rId1"/>
  <tableParts count="1">
    <tablePart r:id="rId3"/>
  </tableParts>
</worksheet>
</file>